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 Gabilondo\Desktop\carrera\FSB 2024-25\Placa de sensores 2025\"/>
    </mc:Choice>
  </mc:AlternateContent>
  <xr:revisionPtr revIDLastSave="0" documentId="13_ncr:1_{13D4F203-8C41-4DC7-AA1C-0F7B6D70CEFD}" xr6:coauthVersionLast="47" xr6:coauthVersionMax="47" xr10:uidLastSave="{00000000-0000-0000-0000-000000000000}"/>
  <bookViews>
    <workbookView xWindow="-120" yWindow="-120" windowWidth="29040" windowHeight="15720" xr2:uid="{837CFFD4-65BC-414E-B474-407AA4FED4FF}"/>
  </bookViews>
  <sheets>
    <sheet name="Placa_sensores_PIC24" sheetId="1" r:id="rId1"/>
    <sheet name="Cableado" sheetId="2" r:id="rId2"/>
    <sheet name="Sensores" sheetId="3" r:id="rId3"/>
  </sheets>
  <definedNames>
    <definedName name="_xlnm.Print_Titles" localSheetId="0">Placa_sensores_PIC24!$1:$1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1" l="1"/>
  <c r="O8" i="1"/>
  <c r="O33" i="1"/>
  <c r="J7" i="3"/>
  <c r="I6" i="3"/>
  <c r="H8" i="2"/>
  <c r="R20" i="1"/>
  <c r="R14" i="1"/>
  <c r="K41" i="1"/>
  <c r="K42" i="1" s="1"/>
  <c r="L12" i="1"/>
  <c r="M31" i="1"/>
  <c r="M32" i="1"/>
  <c r="M33" i="1"/>
  <c r="M34" i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M12" i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L32" i="1"/>
  <c r="L33" i="1"/>
  <c r="L34" i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" i="1"/>
  <c r="M4" i="1" s="1"/>
  <c r="M42" i="1" l="1"/>
  <c r="L41" i="1"/>
  <c r="L42" i="1" s="1"/>
</calcChain>
</file>

<file path=xl/sharedStrings.xml><?xml version="1.0" encoding="utf-8"?>
<sst xmlns="http://schemas.openxmlformats.org/spreadsheetml/2006/main" count="265" uniqueCount="229">
  <si>
    <t>Name</t>
  </si>
  <si>
    <t>Designator</t>
  </si>
  <si>
    <t>Manufacturer 1</t>
  </si>
  <si>
    <t>Manufacturer Part Number 1</t>
  </si>
  <si>
    <t>PESD1CAN-UX</t>
  </si>
  <si>
    <t>PESD1CAN Series 50 V 9.3 pF SMT CAN bus ESD Protection Diode - SOT-323</t>
  </si>
  <si>
    <t>1, 2</t>
  </si>
  <si>
    <t>Cap Ceramic 1uF 25V Y5V -20% to 80% SMD 0805 85°C Embossed T/R</t>
  </si>
  <si>
    <t>Samsung</t>
  </si>
  <si>
    <t>2.7nF</t>
  </si>
  <si>
    <t>C9, C18</t>
  </si>
  <si>
    <t>Molex 2</t>
  </si>
  <si>
    <t>Conn Wire to Board HDR 2 POS 3mm Solder ST Top Entry Thru-Hole Tray</t>
  </si>
  <si>
    <t>CAN0, CAN3</t>
  </si>
  <si>
    <t>Molex</t>
  </si>
  <si>
    <t>43650-0228</t>
  </si>
  <si>
    <t>10uF</t>
  </si>
  <si>
    <t>CAP1</t>
  </si>
  <si>
    <t>HSMG-C170</t>
  </si>
  <si>
    <t>Led 570NM Green Diff 0805 SMD</t>
  </si>
  <si>
    <t>D2, D3, D4</t>
  </si>
  <si>
    <t>Broadcom Avago</t>
  </si>
  <si>
    <t>09455459011</t>
  </si>
  <si>
    <t>Harting Pushpull V4 Signal, 10Pins, Panel Side Insert For Angled Solder Termination</t>
  </si>
  <si>
    <t>DASH1, INT, OUT1, TEMP1</t>
  </si>
  <si>
    <t>HARTING Technology</t>
  </si>
  <si>
    <t>1N4001-T</t>
  </si>
  <si>
    <t>Diode Standard Recovery Rectifier 50V 1A 2-Pin DO-41 T/R</t>
  </si>
  <si>
    <t>DR1</t>
  </si>
  <si>
    <t>Diodes</t>
  </si>
  <si>
    <t>0466001.NR</t>
  </si>
  <si>
    <t>Fuse Chip Very Fast Acting 1A 63V SMD Solder Pad 1206 T/R CSA</t>
  </si>
  <si>
    <t>F1, F2, F3</t>
  </si>
  <si>
    <t>Littelfuse</t>
  </si>
  <si>
    <t>95503-2661</t>
  </si>
  <si>
    <t>Modular Jack, Vertical, Top Entry, Through Hole, 6/6, No Key Version, Tray</t>
  </si>
  <si>
    <t>ICSP1</t>
  </si>
  <si>
    <t>Instrument Amplifier, 1, 1 Mv, 0.07 V/ S, 600 Khz, 2.25V To 18V, Dip Rohs Compliant: Yes</t>
  </si>
  <si>
    <t>INA1, INA2, INA3, INA4</t>
  </si>
  <si>
    <t>Texas Instruments</t>
  </si>
  <si>
    <t>1812CAN-104NRC</t>
  </si>
  <si>
    <t>Common Mode Choke, 30% tol, SMT, RoHS, halogen-free</t>
  </si>
  <si>
    <t>L1, L3</t>
  </si>
  <si>
    <t>Coilcraft</t>
  </si>
  <si>
    <t>RLS-126</t>
  </si>
  <si>
    <t>Line Inductors for RECOM Power Supply</t>
  </si>
  <si>
    <t>L2, L4</t>
  </si>
  <si>
    <t>LTC2644CMS-L12#PBF</t>
  </si>
  <si>
    <t>Integrated Circuit</t>
  </si>
  <si>
    <t>LTC1</t>
  </si>
  <si>
    <t>Crystal 20MHZ SMD</t>
  </si>
  <si>
    <t>LFXTAL003181 - Crystal 20MHZ 16PF 2-PIN HC-49/4H Smx Bulk</t>
  </si>
  <si>
    <t>OSC 1</t>
  </si>
  <si>
    <t>MCU08050D1002BP100</t>
  </si>
  <si>
    <t>SMD Chip Resistor, 10 kOhm, ± 0.1%, 125 mW, 0805 [2012 Metric], Thin Film, Precision</t>
  </si>
  <si>
    <t>R1</t>
  </si>
  <si>
    <t>Vishay BCcomponents</t>
  </si>
  <si>
    <t>3296W-1-202LF</t>
  </si>
  <si>
    <t>R21, R22, R23, R24</t>
  </si>
  <si>
    <t>Bourns</t>
  </si>
  <si>
    <t>VCAS080530C650DP</t>
  </si>
  <si>
    <t>Varistor, 67V, 21Vac, 30Vdc, 0805</t>
  </si>
  <si>
    <t>RV1</t>
  </si>
  <si>
    <t>Kyocera AVX</t>
  </si>
  <si>
    <t>PIC24EP512GU810-I/PT</t>
  </si>
  <si>
    <t>General Purpose 16-bit Microcontroller with USB, Enhanced Performance Flash Memory, 512 KB Program Memory, 100-Pin TQFP (PT), Industrial Temperature</t>
  </si>
  <si>
    <t>U1</t>
  </si>
  <si>
    <t>R-78K3.3-1.0</t>
  </si>
  <si>
    <t>R-78K-1.0 Series Single Output 3.3 V 1 A Non Isolated DC/DC Converter - SIP-3</t>
  </si>
  <si>
    <t>R-78C5.0-1.0</t>
  </si>
  <si>
    <t>1A DC/DC-Converter 'INNOLINE' SIP3 reg; V. In: 8-42; V. Out: 5.0; mA. Out: 1000</t>
  </si>
  <si>
    <t>U2</t>
  </si>
  <si>
    <t>OPA990IDBVR</t>
  </si>
  <si>
    <t>Single 1MHz, 40-V rail-to-rail input/output, low-offset-voltage, low-power op amp 5-SOT-23 -40 to 125</t>
  </si>
  <si>
    <t>U3, U4, U5, U6, U7, U8, U9</t>
  </si>
  <si>
    <t>MCP2562FDT-E_SN</t>
  </si>
  <si>
    <t>UC1, UC2</t>
  </si>
  <si>
    <t>Diode Zener Single 3.6V 5% 500mW Automotive 2-Pin SOD-123 T/R</t>
  </si>
  <si>
    <t>ON Semiconductor</t>
  </si>
  <si>
    <t>10K</t>
  </si>
  <si>
    <t>20K</t>
  </si>
  <si>
    <t>110K</t>
  </si>
  <si>
    <t>220K</t>
  </si>
  <si>
    <t>1M ohm</t>
  </si>
  <si>
    <t>10pf</t>
  </si>
  <si>
    <t>22pf</t>
  </si>
  <si>
    <t>10nf</t>
  </si>
  <si>
    <t>100 nf</t>
  </si>
  <si>
    <t>1uf</t>
  </si>
  <si>
    <t>10 uf</t>
  </si>
  <si>
    <t xml:space="preserve"> Zener 3.6</t>
  </si>
  <si>
    <t>Diode Zener Single 5.1V 5% 500mW Automotive 2-Pin SOD-123 T/R</t>
  </si>
  <si>
    <t>Z1</t>
  </si>
  <si>
    <t>Z2, Z3, Z4, Z5, Z7, Z8, Z9</t>
  </si>
  <si>
    <t>Zener 5.1</t>
  </si>
  <si>
    <t>SMD Chip Resistor, 60 Ohm, ± 1%, 125 mW, 0805 [2012 Metric]</t>
  </si>
  <si>
    <t>SMD Chip Resistor, 330 Ohm, ± 1%, 125 mW, 0805 [2012 Metric]</t>
  </si>
  <si>
    <t>'SMD Chip Resistor, 20kOhm, ± 1%, 125 mW, 0805 [2012 Metric]</t>
  </si>
  <si>
    <t>'SMD Chip Resistor, 110kOhm, ± 1%, 125 mW, 0805 [2012 Metric]</t>
  </si>
  <si>
    <t>'SMD Chip Resistor, 220kOhm, ± 1%, 125 mW, 0805 [2012 Metric]</t>
  </si>
  <si>
    <t>'SMD Chip Resistor, 10kOhm, ± 1%, 125 mW, 0805 [2012 Metric]</t>
  </si>
  <si>
    <t>'SMD Chip Resistor, 1MOhm, ± 1%, 125 mW, 0805 [2012 Metric]</t>
  </si>
  <si>
    <t>Cap Ceramic 10pF 25V Y5V -20% to 80% SMD 0805 85°C Embossed T/R</t>
  </si>
  <si>
    <t>0805 2.7nF 25 V ±10 % X5R Surface Mount Multilayer Ceramic Capacitor</t>
  </si>
  <si>
    <t>Cap Ceramic 22pF 25V Y5V -20% to 80% SMD 0805 85°C Embossed T/R</t>
  </si>
  <si>
    <t>INA333PA</t>
  </si>
  <si>
    <t>Cap Ceramic 10nF 25V Y5V -20% to 80% SMD 0805 85°C Embossed T/R</t>
  </si>
  <si>
    <t>Cap Ceramic 100nF 25V Y5V -20% to 80% SMD 0805 85°C Embossed T/R</t>
  </si>
  <si>
    <t>Cap Ceramic 10uF 25V Y5V -20% to 80% SMD 0805 85°C Embossed T/R</t>
  </si>
  <si>
    <t>60 ohm</t>
  </si>
  <si>
    <t>R4</t>
  </si>
  <si>
    <t>R29, R36</t>
  </si>
  <si>
    <t>R5, R28, R30, R34</t>
  </si>
  <si>
    <t>C13, C14</t>
  </si>
  <si>
    <t>CHB1, CHB2, CLB1, CLB2</t>
  </si>
  <si>
    <t>C24, C26</t>
  </si>
  <si>
    <t>C7, C8, C10, C15, C19 ,C10, C21, CC1, CC2, CC3, CC4, CB1, CB2</t>
  </si>
  <si>
    <t>C2, C6</t>
  </si>
  <si>
    <t xml:space="preserve">C1, C2, C3, C4, </t>
  </si>
  <si>
    <t>RCH1, RHC2, RCL1, RCL2</t>
  </si>
  <si>
    <t>1K</t>
  </si>
  <si>
    <t>R6, R7, R8</t>
  </si>
  <si>
    <t xml:space="preserve">R31, R33, R37, R39, R41 </t>
  </si>
  <si>
    <t>R1, R2, R3, R9, R11, R12, R13, R14 R15, R16, R17, R18, R19, R20, R25, R26, R27,  R36 R38, R39, R40,</t>
  </si>
  <si>
    <t>MMSZ4689T1G</t>
  </si>
  <si>
    <t>MMSZ4684T1G</t>
  </si>
  <si>
    <t>Quantity per unit</t>
  </si>
  <si>
    <t>https://www.mouser.es/ProductDetail/Nexperia/PESD1CAN-UX?qs=fi7yB2oewZmfG%252BI%252BwWS45Q%3D%3D&amp;utm_id=22436684113&amp;utm_source=google&amp;utm_medium=cpc&amp;utm_marketing_tactic=emeacorp&amp;gad_source=1&amp;gad_campaignid=22426743051&amp;gbraid=0AAAAADn_wf1ZSkoq2XSTYm6oI7quhpGfr&amp;gclid=Cj0KCQjw9O_BBhCUARIsAHQMjS7Eu-LsqR6QbJLOU5k7HeEmrqFD68MDzsydqff6Mmk9uxBBK5icziUaAiUDEALw_wcB</t>
  </si>
  <si>
    <t>https://www.digikey.es/es/products/detail/molex/0436500227/3310541?gad_source=1&amp;gad_campaignid=20219121836&amp;gbraid=0AAAAADrbLlhAjsUNb4tAxi1EWhUUy07d6&amp;gclid=Cj0KCQjw9O_BBhCUARIsAHQMjS6eipZA5NTUzWPII8PyKbY0m6Ad2Fto8sqa5tD8CVzEDuJ1COg48L8aAoZNEALw_wcB&amp;gclsrc=aw.ds</t>
  </si>
  <si>
    <t>CAP TANT 10UF 10% 16V 1411</t>
  </si>
  <si>
    <t>https://eu.mouser.com/ProductDetail/KEMET/T491B226K016AT?qs=PdcrmyjhztwLU04OBpjBDg%3D%3D&amp;utm_id=9882080341&amp;gad_source=1&amp;gclid=Cj0KCQiA88a5BhDPARIsAFj595gm1H-pwvtIh5GaxyYavZNQMQeLxw3nyC0NtHI5m604BiO3xaUEcXYaAqBAEALw_wcB</t>
  </si>
  <si>
    <t>https://www.digikey.es/es/products/detail/w-rth-elektronik/150060GS75000/4489896?gad_source=1&amp;gad_campaignid=20199916455&amp;gbraid=0AAAAADrbLlgNJFaKkyNFhOqzPD9zoB9Ps&amp;gclid=Cj0KCQjw9O_BBhCUARIsAHQMjS5qetJ3dF9fLXyD6RbzY58nOLM4Kt-yPLLOB_KOi4YsuWZcJd41lzYaAuduEALw_wcB&amp;gclsrc=aw.ds</t>
  </si>
  <si>
    <t>https://b2b.harting.com/ebusiness/es/HPP-V4-Signal-THT-10pole-horizontal-jack/09455459011</t>
  </si>
  <si>
    <t>https://es.rs-online.com/web/p/diodos-schottky-y-rectificadores/8427484</t>
  </si>
  <si>
    <t>https://eu.mouser.com/ProductDetail/Littelfuse/0466001NR?qs=ar9f0rk5DXDy6tpNfF8WnQ%3D%3D&amp;utm_id=9882080341&amp;gad_source=1&amp;gclid=Cj0KCQiA88a5BhDPARIsAFj595iMF0PYrPAlgk7rNRfNuH5igzDnwWVmybrOEEIkrWlrt8v-7pPDj54aAkYCEALw_wcB</t>
  </si>
  <si>
    <t>https://www.mouser.es/ProductDetail/Molex/95503-2661?qs=yAkwA2Qx9OfHkDEeHSnJ%252Bg%3D%3D&amp;srsltid=AfmBOooAIGCvQNae93oNaNFcqd5rtCZibLCWs0H1basmjUQNNI2hwt8x</t>
  </si>
  <si>
    <t>INA333AIDGKR</t>
  </si>
  <si>
    <t>https://www.mouser.es/ProductDetail/Texas-Instruments/INA333AIDGKR?qs=nJRxFdq%252BlvaKwfZOdHFpKg%3D%3D</t>
  </si>
  <si>
    <t>https://www.mouser.es/ProductDetail/Coilcraft/1812CAN-104NRC?qs=wnTfsH77Xs4yeJ0V8TJNBw%3D%3D</t>
  </si>
  <si>
    <t>https://eu.mouser.com/ProductDetail/RECOM-Power/RLS-126?qs=gZXFycFWdAMcIZPu0z1CRg%3D%3D&amp;utm_id=22436684113&amp;utm_source=google&amp;utm_medium=cpc&amp;utm_marketing_tactic=emeacorp&amp;gad_source=1&amp;gad_campaignid=22426743051&amp;gbraid=0AAAAADn_wf1ZSkoq2XSTYm6oI7quhpGfr&amp;gclid=Cj0KCQjw9O_BBhCUARIsAHQMjS6t2dsptxyO_VTpBm9GJNQOmBrJc_-N4_7bTmAQEdkjq60MbWODd3AaAhb3EALw_wcB</t>
  </si>
  <si>
    <t>https://www.mouser.es/ProductDetail/Analog-Devices/LTC2644CMS-L8PBF?qs=hVkxg5c3xu%252Bkarc5AdAVpA%3D%3D</t>
  </si>
  <si>
    <t>https://www.mouser.es/ProductDetail/ECS/ECS-200-S-28AX-TR?qs=5lHMIjPfuwJQQe2o0YxCiw%3D%3D</t>
  </si>
  <si>
    <t>https://www.digikey.es/es/products/detail/yageo/RC0805FR-1310KL/13694395?gad_source=1&amp;gad_campaignid=20199916455&amp;gbraid=0AAAAADrbLlgNJFaKkyNFhOqzPD9zoB9Ps&amp;gclid=Cj0KCQjw9O_BBhCUARIsAHQMjS7uK9JN3yZ1j2G3Jm-XobUKj0iwcjNmIIjgtt9plt46gBb2KiPtPrUaAtJgEALw_wcB&amp;gclsrc=aw.ds</t>
  </si>
  <si>
    <t>Trimmer Potentiometer 20k Ohm 10% 1/2 Watt 25 Turn 2.29mm Pin Through Hole</t>
  </si>
  <si>
    <t>https://www.jameco.com/z/68WR20K-BI-Technologies-Trimmer-Potentiometer-20k-Ohm-10-1-2-Watt-25-Turn-2-29mm-Pin-Through-Hole_238633.html</t>
  </si>
  <si>
    <t>https://www.mouser.es/ProductDetail/KYOCERA-AVX/VCAS080530C650DP?qs=QtI0yD1FyOOTCBRjHMeMvQ%3D%3D&amp;srsltid=AfmBOoohs6-51XF2ewReo0MxGKbniY6UT3L1Epi0_9p4kw7HJl8gir4l</t>
  </si>
  <si>
    <t>https://www.mouser.es/ProductDetail/Microchip-Technology/PIC24EP512GU810-E-PT?qs=dLbC48w81hO5hIUX8m5LjA%3D%3D&amp;utm_id=20109199436&amp;gad_source=1&amp;gclid=Cj0KCQjwpP63BhDYARIsAOQkATbJXDqRZM2Yr-fLuhSOOPFA-pdEb7j3lBRdpVCyyoBmhY0FgDClj4EaAg45EALw_wcB</t>
  </si>
  <si>
    <t>https://www.mouser.es/ProductDetail/RECOM-Power/R-78K3.3-1.0?qs=sGAEpiMZZMsc0tfZmXiUnTr9pnMRotOJedICzGNXB15kydnuJDRZCg%3D%3D</t>
  </si>
  <si>
    <t>https://www.mouser.es/ProductDetail/RECOM-Power/R-78K5.0-1.0?qs=sGAEpiMZZMsc0tfZmXiUnTr9pnMRotOJxkWHPSrBrpie2dB%252BlaFB3A%3D%3D</t>
  </si>
  <si>
    <t>https://www.mouser.es/ProductDetail/Texas-Instruments/OPA990IDBVR?qs=P1JMDcb91o6HTlpZC41BfQ%3D%3D&amp;utm_id=20109199436&amp;utm_source=google&amp;utm_medium=cpc&amp;utm_marketing_tactic=emeacorp&amp;gad_source=1&amp;gad_campaignid=20109199436&amp;gbraid=0AAAAADn_wf1jz7Xc6XwWrxIvJYPiDlVMf&amp;gclid=Cj0KCQjw9O_BBhCUARIsAHQMjS7Kuws_OOhDDi6X6Djaitv2TkNJ9w9qn6pT1A6FpYF-IDvzphXEbKMaAvOvEALw_wcB</t>
  </si>
  <si>
    <t>https://www.mouser.es/ProductDetail/Microchip-Technology/MCP2562FDT-E-SN?qs=YlpJWyuQ3PNwRkBGVHsNkA%3D%3D&amp;utm_id=20109199436&amp;utm_source=google&amp;utm_medium=cpc&amp;utm_marketing_tactic=emeacorp&amp;gad_source=1&amp;gad_campaignid=20109199436&amp;gbraid=0AAAAADn_wf1jz7Xc6XwWrxIvJYPiDlVMf&amp;gclid=Cj0KCQjw9O_BBhCUARIsAHQMjS5M9R9bEG0dmvjMsM0yynYm8GPDEvwP1GL3k7PwQTCIMZlR4V_bZnwaAlPYEALw_wcB</t>
  </si>
  <si>
    <t>https://www.mouser.es/ProductDetail/Vishay/MMSZ4684-HE3_A-08?qs=Imq1NPwxi75sJPia2HqPeg%3D%3D</t>
  </si>
  <si>
    <t>https://www.mouser.es/ProductDetail/Vishay/MMSZ4689-HE3_A-08?qs=Imq1NPwxi77m1u4A0eJwJg%3D%3D</t>
  </si>
  <si>
    <t>https://es.rs-online.com/web/p/resistencias-de-montaje-en-superficie/7089218P</t>
  </si>
  <si>
    <t>https://es.rs-online.com/web/p/resistencias-de-montaje-en-superficie/2413340P</t>
  </si>
  <si>
    <t>https://es.rs-online.com/web/p/resistencias-de-montaje-en-superficie/2413343</t>
  </si>
  <si>
    <t>https://www.digikey.es/es/products/detail/yageo/RC0805FR-0720KL/730667?gad_source=1&amp;gad_campaignid=20199916455&amp;gbraid=0AAAAADrbLlgNJFaKkyNFhOqzPD9zoB9Ps&amp;gclid=Cj0KCQjw9O_BBhCUARIsAHQMjS4JLDco4SThUIb780fEWfejLHok4VmDly_2NrMDoDcRx6CQPv-xaDwaAoL5EALw_wcB&amp;gclsrc=aw.ds</t>
  </si>
  <si>
    <t>https://www.mouser.es/ProductDetail/YAGEO/RT0805FRE07110KL?qs=sGAEpiMZZMtG0KNrPCHnjTg0x5DoQJ5PJbd1JlY3PYg%3D</t>
  </si>
  <si>
    <t>https://www.mouser.es/ProductDetail/Vishay-Draloric/RCA0805220KFHEA?qs=sGAEpiMZZMtG0KNrPCHnjWIa4kUFw6BkAz6tR%2F51NzzYNzA2W25C1w%3D%3D</t>
  </si>
  <si>
    <t>https://www.mouser.es/ProductDetail/YAGEO/RE0805FRE071ML?qs=sGAEpiMZZMtG0KNrPCHnjdddqoDGo00GoO4rvBn1i2HFviuWQmJtBA%3D%3D</t>
  </si>
  <si>
    <t xml:space="preserve">  </t>
  </si>
  <si>
    <t>https://www.mouser.es/ProductDetail/KEMET/C0603C100F2TACTU?qs=sGAEpiMZZMuMW9TJLBQkXgbSJ4wmzVaK%252BZdrigZsNPs%3D</t>
  </si>
  <si>
    <t>https://www.mouser.es/ProductDetail/Vishay-Vitramon/VJ0805A220JXGAT5Z?qs=sGAEpiMZZMuMW9TJLBQkXqHqf216LMFxF4BPephYl9s%3D</t>
  </si>
  <si>
    <t>https://www.mouser.es/ProductDetail/KEMET/C0805C272J5GACTU?qs=sGAEpiMZZMuMW9TJLBQkXkWEBSRoKJcfTERrBtJgs0c%3D</t>
  </si>
  <si>
    <t>https://www.mouser.es/ProductDetail/Murata-Electronics/GCM188R71H103KA37J?qs=sGAEpiMZZMuMW9TJLBQkXqRHlkZ14dTktqpPOfbJHNI%3D</t>
  </si>
  <si>
    <t>https://www.mouser.es/ProductDetail/KYOCERA-AVX/KGF21BR71H104KT?qs=sGAEpiMZZMuMW9TJLBQkXqLYvz3DzaXfUkAPQFfppH0%3D</t>
  </si>
  <si>
    <t>https://www.mouser.es/ProductDetail/KYOCERA-AVX/KGM21AV51H105ZU?qs=sGAEpiMZZMuMW9TJLBQkXqLYvz3DzaXfXfIGBliGzLI%3D</t>
  </si>
  <si>
    <t>https://www.mouser.es/ProductDetail/TAIYO-YUDEN/EMK212BB7106KG-T?qs=sGAEpiMZZMuMW9TJLBQkXvVPYRc%2FyP08Ehdx5aikvVY%3D</t>
  </si>
  <si>
    <t>Supplier Subtotal  (€)</t>
  </si>
  <si>
    <t>total con repuestos (€)</t>
  </si>
  <si>
    <t>PCB sensores</t>
  </si>
  <si>
    <t>no aplica</t>
  </si>
  <si>
    <t>https://jlcpcb.com/</t>
  </si>
  <si>
    <t>Supplier link</t>
  </si>
  <si>
    <t>Supplier Unit Price  (€)</t>
  </si>
  <si>
    <t>PCB</t>
  </si>
  <si>
    <t>Conector aereo 3 pines macho</t>
  </si>
  <si>
    <t>Conector aereo 3 pines hembra</t>
  </si>
  <si>
    <t>Conector aereo 4 pines macho</t>
  </si>
  <si>
    <t>Conector aereo 4 pines hembra</t>
  </si>
  <si>
    <t>cableado</t>
  </si>
  <si>
    <t>HELUDATA® TRONIC-CY 2464 / 300 GRIS</t>
  </si>
  <si>
    <t>RSV Harax M8-S 3polig Buchse</t>
  </si>
  <si>
    <t>RSV Harax M8-S 4polig Buchse</t>
  </si>
  <si>
    <t>HARAX M8-S male 3-pole</t>
  </si>
  <si>
    <t>HARAX M8-S male 4-pole</t>
  </si>
  <si>
    <t xml:space="preserve">Quantity </t>
  </si>
  <si>
    <t>HARTING</t>
  </si>
  <si>
    <t>https://www.harting.com/de-DE/p/HARAX-M8-S-male-3-pole-21021511305</t>
  </si>
  <si>
    <t>https://www.harting.com/de-DE/p/RSV-Harax-M8-S-3polig-Buchse-21021512305</t>
  </si>
  <si>
    <t>https://www.harting.com/en-GB/p/HARAX-M8-S-male-4-pole-21021511405</t>
  </si>
  <si>
    <t>https://www.harting.com/en-US/p/HARAX-M8-S-female-4-pole-21021512405</t>
  </si>
  <si>
    <t>No aplica patrocinador</t>
  </si>
  <si>
    <t>https://shop.helukabel.com/de-de/heludata-tronic-cy-2464-300-grey-heludata-tronic-cy-2464-300-black-m83254</t>
  </si>
  <si>
    <t>HELUKABEL</t>
  </si>
  <si>
    <t>189€ 100m</t>
  </si>
  <si>
    <t>5m</t>
  </si>
  <si>
    <t>Tipo</t>
  </si>
  <si>
    <t>Nombre/Modelo</t>
  </si>
  <si>
    <t>Referencia fabricante</t>
  </si>
  <si>
    <t>Descripción</t>
  </si>
  <si>
    <t>Sensor lineal</t>
  </si>
  <si>
    <t>Gefran PZ-34-A-075</t>
  </si>
  <si>
    <t>PZ-34-A-075 0000X000X00</t>
  </si>
  <si>
    <t>Sensor de la dirección</t>
  </si>
  <si>
    <t>Sensor magnético</t>
  </si>
  <si>
    <t>RM16 super small Absolute Encoder</t>
  </si>
  <si>
    <t>RMH06A3A02</t>
  </si>
  <si>
    <t>Sensor de la suspensión</t>
  </si>
  <si>
    <t>resistencia NTC</t>
  </si>
  <si>
    <t>NTC RS PRO temperature sensor</t>
  </si>
  <si>
    <t>124-1082</t>
  </si>
  <si>
    <t>sensor de temperatura de la refri</t>
  </si>
  <si>
    <t>Efecto doppler</t>
  </si>
  <si>
    <t>Speed Wedge MKII Radar</t>
  </si>
  <si>
    <t>sensor de velocidad que manda por CAN</t>
  </si>
  <si>
    <t>link</t>
  </si>
  <si>
    <t>https://es.rs-online.com/web/p/sensores-de-control-de-movimiento/3908058</t>
  </si>
  <si>
    <t>https://www.rls.si/eng/rm16-super-small-incremental-and-absolute-encoder</t>
  </si>
  <si>
    <t>hay que contactar https://www.mso-technik.de/mso-products/true-ground-speed/speed-wedge-radar.html</t>
  </si>
  <si>
    <t>https://es.rs-online.com/web/p/termistores/1241082</t>
  </si>
  <si>
    <t>precio unidad</t>
  </si>
  <si>
    <t>precio total</t>
  </si>
  <si>
    <t>Total</t>
  </si>
  <si>
    <t>convenio con wurth electronics</t>
  </si>
  <si>
    <t>ahorrados</t>
  </si>
  <si>
    <t>TOTAL PCB sin patros</t>
  </si>
  <si>
    <t>TOTAL PCB con patros</t>
  </si>
  <si>
    <t>convenio harting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</si>
</sst>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242424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333333"/>
      <name val="Arial"/>
      <family val="2"/>
    </font>
    <font>
      <sz val="11"/>
      <color rgb="FF0000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11"/>
      <color rgb="FF151313"/>
      <name val="Calibri"/>
      <family val="2"/>
    </font>
    <font>
      <b/>
      <sz val="11"/>
      <color rgb="FF0F476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145F82"/>
      </top>
      <bottom style="thin">
        <color rgb="FF145F82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4" fillId="0" borderId="1" xfId="1" applyBorder="1"/>
    <xf numFmtId="0" fontId="4" fillId="3" borderId="1" xfId="1" applyFill="1" applyBorder="1"/>
    <xf numFmtId="0" fontId="6" fillId="0" borderId="0" xfId="0" applyFont="1"/>
    <xf numFmtId="0" fontId="0" fillId="5" borderId="0" xfId="0" applyFill="1"/>
    <xf numFmtId="0" fontId="3" fillId="0" borderId="1" xfId="0" applyFont="1" applyBorder="1"/>
    <xf numFmtId="0" fontId="8" fillId="0" borderId="1" xfId="0" applyFont="1" applyBorder="1" applyAlignment="1">
      <alignment horizontal="right"/>
    </xf>
    <xf numFmtId="0" fontId="6" fillId="0" borderId="1" xfId="0" applyFont="1" applyBorder="1"/>
    <xf numFmtId="2" fontId="7" fillId="0" borderId="1" xfId="0" applyNumberFormat="1" applyFont="1" applyBorder="1"/>
    <xf numFmtId="0" fontId="5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0" fillId="2" borderId="3" xfId="0" applyFill="1" applyBorder="1"/>
    <xf numFmtId="0" fontId="11" fillId="0" borderId="0" xfId="0" applyFont="1"/>
    <xf numFmtId="0" fontId="12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0" fillId="6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0" fillId="8" borderId="6" xfId="0" applyFill="1" applyBorder="1" applyAlignment="1">
      <alignment horizontal="center" vertical="center" wrapText="1"/>
    </xf>
    <xf numFmtId="0" fontId="0" fillId="9" borderId="0" xfId="0" applyFill="1"/>
    <xf numFmtId="0" fontId="1" fillId="9" borderId="0" xfId="0" applyFont="1" applyFill="1"/>
    <xf numFmtId="0" fontId="0" fillId="9" borderId="2" xfId="0" applyFill="1" applyBorder="1"/>
    <xf numFmtId="0" fontId="0" fillId="10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es/ProductDetail/YAGEO/RT0805FRE07110KL?qs=sGAEpiMZZMtG0KNrPCHnjTg0x5DoQJ5PJbd1JlY3PYg%3D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mouser.es/ProductDetail/Vishay/MMSZ4689-HE3_A-08?qs=Imq1NPwxi77m1u4A0eJwJg%3D%3D" TargetMode="External"/><Relationship Id="rId1" Type="http://schemas.openxmlformats.org/officeDocument/2006/relationships/hyperlink" Target="https://www.mouser.es/ProductDetail/Molex/95503-2661?qs=yAkwA2Qx9OfHkDEeHSnJ%252Bg%3D%3D&amp;srsltid=AfmBOooAIGCvQNae93oNaNFcqd5rtCZibLCWs0H1basmjUQNNI2hwt8x" TargetMode="External"/><Relationship Id="rId6" Type="http://schemas.openxmlformats.org/officeDocument/2006/relationships/hyperlink" Target="https://www.mouser.es/ProductDetail/Coilcraft/1812CAN-104NRC?qs=wnTfsH77Xs4yeJ0V8TJNBw%3D%3D" TargetMode="External"/><Relationship Id="rId5" Type="http://schemas.openxmlformats.org/officeDocument/2006/relationships/hyperlink" Target="https://jlcpcb.com/" TargetMode="External"/><Relationship Id="rId4" Type="http://schemas.openxmlformats.org/officeDocument/2006/relationships/hyperlink" Target="https://www.mouser.es/ProductDetail/KYOCERA-AVX/KGM21AV51H105ZU?qs=sGAEpiMZZMuMW9TJLBQkXqLYvz3DzaXfXfIGBliGzLI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6D3E-8B00-4877-AE6D-2C1ADF27FCA6}">
  <dimension ref="A1:R43"/>
  <sheetViews>
    <sheetView tabSelected="1" zoomScale="85" zoomScaleNormal="85" workbookViewId="0">
      <selection activeCell="T43" sqref="T43:T44"/>
    </sheetView>
  </sheetViews>
  <sheetFormatPr baseColWidth="10" defaultRowHeight="15" x14ac:dyDescent="0.25"/>
  <cols>
    <col min="1" max="1" width="22" bestFit="1" customWidth="1"/>
    <col min="2" max="2" width="140.5703125" hidden="1" customWidth="1"/>
    <col min="3" max="3" width="16.7109375" hidden="1" customWidth="1"/>
    <col min="4" max="4" width="30.28515625" bestFit="1" customWidth="1"/>
    <col min="5" max="5" width="127.5703125" customWidth="1"/>
    <col min="6" max="6" width="85.7109375" bestFit="1" customWidth="1"/>
    <col min="7" max="7" width="15.7109375" customWidth="1"/>
    <col min="8" max="8" width="20.7109375" bestFit="1" customWidth="1"/>
    <col min="9" max="9" width="26.140625" bestFit="1" customWidth="1"/>
    <col min="10" max="10" width="20.85546875" bestFit="1" customWidth="1"/>
    <col min="11" max="11" width="20.7109375" bestFit="1" customWidth="1"/>
    <col min="12" max="12" width="19.7109375" bestFit="1" customWidth="1"/>
    <col min="13" max="13" width="21.140625" bestFit="1" customWidth="1"/>
    <col min="14" max="14" width="14.140625" customWidth="1"/>
    <col min="15" max="15" width="11.7109375" bestFit="1" customWidth="1"/>
  </cols>
  <sheetData>
    <row r="1" spans="1:18" s="4" customFormat="1" x14ac:dyDescent="0.25"/>
    <row r="3" spans="1:18" s="7" customFormat="1" x14ac:dyDescent="0.25">
      <c r="A3" s="31" t="s">
        <v>175</v>
      </c>
      <c r="D3" s="3" t="s">
        <v>0</v>
      </c>
      <c r="E3" s="3" t="s">
        <v>160</v>
      </c>
      <c r="F3" s="3" t="s">
        <v>1</v>
      </c>
      <c r="G3" s="3" t="s">
        <v>126</v>
      </c>
      <c r="H3" s="3" t="s">
        <v>2</v>
      </c>
      <c r="I3" s="3" t="s">
        <v>3</v>
      </c>
      <c r="J3" s="22" t="s">
        <v>173</v>
      </c>
      <c r="K3" s="3" t="s">
        <v>174</v>
      </c>
      <c r="L3" s="3" t="s">
        <v>168</v>
      </c>
      <c r="M3" s="3" t="s">
        <v>169</v>
      </c>
    </row>
    <row r="4" spans="1:18" x14ac:dyDescent="0.25">
      <c r="A4" s="31"/>
      <c r="D4" s="2" t="s">
        <v>4</v>
      </c>
      <c r="E4" s="2" t="s">
        <v>5</v>
      </c>
      <c r="F4" s="2" t="s">
        <v>6</v>
      </c>
      <c r="G4" s="1">
        <v>2</v>
      </c>
      <c r="H4" s="1"/>
      <c r="I4" s="1"/>
      <c r="J4" s="1" t="s">
        <v>127</v>
      </c>
      <c r="K4" s="1">
        <v>0.29499999999999998</v>
      </c>
      <c r="L4" s="1">
        <f t="shared" ref="L4:L40" si="0">K4*G4</f>
        <v>0.59</v>
      </c>
      <c r="M4" s="1">
        <f>L4*3</f>
        <v>1.77</v>
      </c>
    </row>
    <row r="5" spans="1:18" x14ac:dyDescent="0.25">
      <c r="A5" s="31"/>
      <c r="D5" s="2" t="s">
        <v>11</v>
      </c>
      <c r="E5" s="2" t="s">
        <v>12</v>
      </c>
      <c r="F5" s="2" t="s">
        <v>13</v>
      </c>
      <c r="G5" s="1">
        <v>2</v>
      </c>
      <c r="H5" s="2" t="s">
        <v>14</v>
      </c>
      <c r="I5" s="2" t="s">
        <v>15</v>
      </c>
      <c r="J5" s="1" t="s">
        <v>128</v>
      </c>
      <c r="K5" s="1">
        <v>0.71</v>
      </c>
      <c r="L5" s="1">
        <f t="shared" si="0"/>
        <v>1.42</v>
      </c>
      <c r="M5" s="1">
        <f t="shared" ref="M5:M40" si="1">L5*3</f>
        <v>4.26</v>
      </c>
    </row>
    <row r="6" spans="1:18" x14ac:dyDescent="0.25">
      <c r="A6" s="31"/>
      <c r="D6" s="2" t="s">
        <v>16</v>
      </c>
      <c r="E6" s="2" t="s">
        <v>129</v>
      </c>
      <c r="F6" s="2" t="s">
        <v>17</v>
      </c>
      <c r="G6" s="1">
        <v>1</v>
      </c>
      <c r="H6" s="1"/>
      <c r="I6" s="1"/>
      <c r="J6" s="15" t="s">
        <v>130</v>
      </c>
      <c r="K6" s="15">
        <v>0.64200000000000002</v>
      </c>
      <c r="L6" s="1">
        <f t="shared" si="0"/>
        <v>0.64200000000000002</v>
      </c>
      <c r="M6" s="1">
        <f t="shared" si="1"/>
        <v>1.9260000000000002</v>
      </c>
    </row>
    <row r="7" spans="1:18" x14ac:dyDescent="0.25">
      <c r="A7" s="31"/>
      <c r="D7" s="2" t="s">
        <v>18</v>
      </c>
      <c r="E7" s="2" t="s">
        <v>19</v>
      </c>
      <c r="F7" s="2" t="s">
        <v>20</v>
      </c>
      <c r="G7" s="1">
        <v>3</v>
      </c>
      <c r="H7" s="2" t="s">
        <v>21</v>
      </c>
      <c r="I7" s="2" t="s">
        <v>18</v>
      </c>
      <c r="J7" s="1" t="s">
        <v>131</v>
      </c>
      <c r="K7" s="16">
        <v>0.13</v>
      </c>
      <c r="L7" s="1">
        <f t="shared" si="0"/>
        <v>0.39</v>
      </c>
      <c r="M7" s="1">
        <f t="shared" si="1"/>
        <v>1.17</v>
      </c>
    </row>
    <row r="8" spans="1:18" x14ac:dyDescent="0.25">
      <c r="A8" s="31"/>
      <c r="D8" s="2" t="s">
        <v>22</v>
      </c>
      <c r="E8" s="2" t="s">
        <v>23</v>
      </c>
      <c r="F8" s="2" t="s">
        <v>24</v>
      </c>
      <c r="G8" s="1">
        <v>4</v>
      </c>
      <c r="H8" s="2" t="s">
        <v>25</v>
      </c>
      <c r="I8" s="2" t="s">
        <v>22</v>
      </c>
      <c r="J8" s="15" t="s">
        <v>132</v>
      </c>
      <c r="K8" s="17">
        <v>12.2</v>
      </c>
      <c r="L8" s="1">
        <f t="shared" si="0"/>
        <v>48.8</v>
      </c>
      <c r="M8" s="1">
        <f t="shared" si="1"/>
        <v>146.39999999999998</v>
      </c>
      <c r="N8" s="14" t="s">
        <v>228</v>
      </c>
      <c r="O8">
        <f>M8</f>
        <v>146.39999999999998</v>
      </c>
      <c r="P8" t="s">
        <v>225</v>
      </c>
    </row>
    <row r="9" spans="1:18" x14ac:dyDescent="0.25">
      <c r="A9" s="31"/>
      <c r="D9" s="2" t="s">
        <v>26</v>
      </c>
      <c r="E9" s="2" t="s">
        <v>27</v>
      </c>
      <c r="F9" s="2" t="s">
        <v>28</v>
      </c>
      <c r="G9" s="1">
        <v>1</v>
      </c>
      <c r="H9" s="2" t="s">
        <v>29</v>
      </c>
      <c r="I9" s="2" t="s">
        <v>26</v>
      </c>
      <c r="J9" s="15" t="s">
        <v>133</v>
      </c>
      <c r="K9" s="17">
        <v>0.30399999999999999</v>
      </c>
      <c r="L9" s="1">
        <f t="shared" si="0"/>
        <v>0.30399999999999999</v>
      </c>
      <c r="M9" s="1">
        <f t="shared" si="1"/>
        <v>0.91199999999999992</v>
      </c>
    </row>
    <row r="10" spans="1:18" x14ac:dyDescent="0.25">
      <c r="A10" s="31"/>
      <c r="D10" s="2" t="s">
        <v>30</v>
      </c>
      <c r="E10" s="2" t="s">
        <v>31</v>
      </c>
      <c r="F10" s="2" t="s">
        <v>32</v>
      </c>
      <c r="G10" s="1">
        <v>3</v>
      </c>
      <c r="H10" s="2" t="s">
        <v>33</v>
      </c>
      <c r="I10" s="2" t="s">
        <v>30</v>
      </c>
      <c r="J10" s="15" t="s">
        <v>134</v>
      </c>
      <c r="K10" s="15">
        <v>0.55800000000000005</v>
      </c>
      <c r="L10" s="1">
        <f t="shared" si="0"/>
        <v>1.6740000000000002</v>
      </c>
      <c r="M10" s="1">
        <f t="shared" si="1"/>
        <v>5.0220000000000002</v>
      </c>
    </row>
    <row r="11" spans="1:18" x14ac:dyDescent="0.25">
      <c r="A11" s="31"/>
      <c r="D11" s="2" t="s">
        <v>34</v>
      </c>
      <c r="E11" s="2" t="s">
        <v>35</v>
      </c>
      <c r="F11" s="2" t="s">
        <v>36</v>
      </c>
      <c r="G11" s="1">
        <v>1</v>
      </c>
      <c r="H11" s="2" t="s">
        <v>14</v>
      </c>
      <c r="I11" s="2" t="s">
        <v>34</v>
      </c>
      <c r="J11" s="11" t="s">
        <v>135</v>
      </c>
      <c r="K11" s="18">
        <v>0.93</v>
      </c>
      <c r="L11" s="1">
        <f t="shared" si="0"/>
        <v>0.93</v>
      </c>
      <c r="M11" s="1">
        <f t="shared" si="1"/>
        <v>2.79</v>
      </c>
    </row>
    <row r="12" spans="1:18" x14ac:dyDescent="0.25">
      <c r="A12" s="31"/>
      <c r="D12" s="2" t="s">
        <v>105</v>
      </c>
      <c r="E12" s="2" t="s">
        <v>37</v>
      </c>
      <c r="F12" s="2" t="s">
        <v>38</v>
      </c>
      <c r="G12" s="1">
        <v>4</v>
      </c>
      <c r="H12" s="2" t="s">
        <v>39</v>
      </c>
      <c r="I12" s="19" t="s">
        <v>136</v>
      </c>
      <c r="J12" s="1" t="s">
        <v>137</v>
      </c>
      <c r="K12" s="20">
        <v>2.88</v>
      </c>
      <c r="L12" s="1">
        <f t="shared" si="0"/>
        <v>11.52</v>
      </c>
      <c r="M12" s="1">
        <f t="shared" si="1"/>
        <v>34.56</v>
      </c>
    </row>
    <row r="13" spans="1:18" x14ac:dyDescent="0.25">
      <c r="A13" s="31"/>
      <c r="D13" s="2" t="s">
        <v>40</v>
      </c>
      <c r="E13" s="2" t="s">
        <v>41</v>
      </c>
      <c r="F13" s="2" t="s">
        <v>42</v>
      </c>
      <c r="G13" s="1">
        <v>2</v>
      </c>
      <c r="H13" s="2" t="s">
        <v>43</v>
      </c>
      <c r="I13" s="2" t="s">
        <v>40</v>
      </c>
      <c r="J13" s="11" t="s">
        <v>138</v>
      </c>
      <c r="K13" s="1">
        <v>2.06</v>
      </c>
      <c r="L13" s="1">
        <f t="shared" si="0"/>
        <v>4.12</v>
      </c>
      <c r="M13" s="1">
        <f t="shared" si="1"/>
        <v>12.36</v>
      </c>
    </row>
    <row r="14" spans="1:18" x14ac:dyDescent="0.25">
      <c r="A14" s="31"/>
      <c r="D14" s="2" t="s">
        <v>44</v>
      </c>
      <c r="E14" s="2" t="s">
        <v>45</v>
      </c>
      <c r="F14" s="2" t="s">
        <v>46</v>
      </c>
      <c r="G14" s="1">
        <v>2</v>
      </c>
      <c r="H14" s="1"/>
      <c r="I14" s="1"/>
      <c r="J14" s="1" t="s">
        <v>139</v>
      </c>
      <c r="K14" s="1">
        <v>1.07</v>
      </c>
      <c r="L14" s="1">
        <f t="shared" si="0"/>
        <v>2.14</v>
      </c>
      <c r="M14" s="1">
        <f t="shared" si="1"/>
        <v>6.42</v>
      </c>
      <c r="R14">
        <f>SUM(L4:L40)</f>
        <v>136.01700000000002</v>
      </c>
    </row>
    <row r="15" spans="1:18" x14ac:dyDescent="0.25">
      <c r="A15" s="31"/>
      <c r="D15" s="2" t="s">
        <v>47</v>
      </c>
      <c r="E15" s="2" t="s">
        <v>48</v>
      </c>
      <c r="F15" s="2" t="s">
        <v>49</v>
      </c>
      <c r="G15" s="1">
        <v>1</v>
      </c>
      <c r="H15" s="1"/>
      <c r="I15" s="1"/>
      <c r="J15" s="1" t="s">
        <v>140</v>
      </c>
      <c r="K15" s="20">
        <v>7.9</v>
      </c>
      <c r="L15" s="1">
        <f t="shared" si="0"/>
        <v>7.9</v>
      </c>
      <c r="M15" s="1">
        <f t="shared" si="1"/>
        <v>23.700000000000003</v>
      </c>
    </row>
    <row r="16" spans="1:18" s="7" customFormat="1" x14ac:dyDescent="0.25">
      <c r="A16" s="31"/>
      <c r="D16" s="2" t="s">
        <v>50</v>
      </c>
      <c r="E16" s="2" t="s">
        <v>51</v>
      </c>
      <c r="F16" s="2" t="s">
        <v>52</v>
      </c>
      <c r="G16" s="1">
        <v>1</v>
      </c>
      <c r="H16" s="1"/>
      <c r="I16" s="1"/>
      <c r="J16" s="1" t="s">
        <v>141</v>
      </c>
      <c r="K16" s="20">
        <v>1.1200000000000001</v>
      </c>
      <c r="L16" s="1">
        <f t="shared" si="0"/>
        <v>1.1200000000000001</v>
      </c>
      <c r="M16" s="1">
        <f t="shared" si="1"/>
        <v>3.3600000000000003</v>
      </c>
    </row>
    <row r="17" spans="1:18" s="7" customFormat="1" x14ac:dyDescent="0.25">
      <c r="A17" s="31"/>
      <c r="D17" s="2" t="s">
        <v>53</v>
      </c>
      <c r="E17" s="2" t="s">
        <v>54</v>
      </c>
      <c r="F17" s="2" t="s">
        <v>55</v>
      </c>
      <c r="G17" s="1">
        <v>1</v>
      </c>
      <c r="H17" s="2" t="s">
        <v>56</v>
      </c>
      <c r="I17" s="2" t="s">
        <v>53</v>
      </c>
      <c r="J17" s="1" t="s">
        <v>142</v>
      </c>
      <c r="K17" s="21">
        <v>0.1</v>
      </c>
      <c r="L17" s="1">
        <f t="shared" si="0"/>
        <v>0.1</v>
      </c>
      <c r="M17" s="1">
        <f t="shared" si="1"/>
        <v>0.30000000000000004</v>
      </c>
    </row>
    <row r="18" spans="1:18" x14ac:dyDescent="0.25">
      <c r="A18" s="31"/>
      <c r="D18" s="2" t="s">
        <v>57</v>
      </c>
      <c r="E18" s="2" t="s">
        <v>143</v>
      </c>
      <c r="F18" s="2" t="s">
        <v>58</v>
      </c>
      <c r="G18" s="1">
        <v>4</v>
      </c>
      <c r="H18" s="2" t="s">
        <v>59</v>
      </c>
      <c r="I18" s="2" t="s">
        <v>57</v>
      </c>
      <c r="J18" s="1" t="s">
        <v>144</v>
      </c>
      <c r="K18" s="20">
        <v>0.99</v>
      </c>
      <c r="L18" s="1">
        <f t="shared" si="0"/>
        <v>3.96</v>
      </c>
      <c r="M18" s="1">
        <f t="shared" si="1"/>
        <v>11.879999999999999</v>
      </c>
    </row>
    <row r="19" spans="1:18" x14ac:dyDescent="0.25">
      <c r="A19" s="31"/>
      <c r="D19" s="2" t="s">
        <v>60</v>
      </c>
      <c r="E19" s="2" t="s">
        <v>61</v>
      </c>
      <c r="F19" s="2" t="s">
        <v>62</v>
      </c>
      <c r="G19" s="1">
        <v>1</v>
      </c>
      <c r="H19" s="2" t="s">
        <v>63</v>
      </c>
      <c r="I19" s="2" t="s">
        <v>60</v>
      </c>
      <c r="J19" s="1" t="s">
        <v>145</v>
      </c>
      <c r="K19" s="20">
        <v>0.10199999999999999</v>
      </c>
      <c r="L19" s="1">
        <f t="shared" si="0"/>
        <v>0.10199999999999999</v>
      </c>
      <c r="M19" s="1">
        <f t="shared" si="1"/>
        <v>0.30599999999999999</v>
      </c>
    </row>
    <row r="20" spans="1:18" x14ac:dyDescent="0.25">
      <c r="A20" s="31"/>
      <c r="D20" s="2" t="s">
        <v>64</v>
      </c>
      <c r="E20" s="2" t="s">
        <v>65</v>
      </c>
      <c r="F20" s="2" t="s">
        <v>66</v>
      </c>
      <c r="G20" s="1">
        <v>1</v>
      </c>
      <c r="H20" s="1"/>
      <c r="I20" s="1"/>
      <c r="J20" s="1" t="s">
        <v>146</v>
      </c>
      <c r="K20" s="20">
        <v>11.29</v>
      </c>
      <c r="L20" s="1">
        <f t="shared" si="0"/>
        <v>11.29</v>
      </c>
      <c r="M20" s="1">
        <f t="shared" si="1"/>
        <v>33.869999999999997</v>
      </c>
      <c r="R20">
        <f>SUM(M4:M40)</f>
        <v>408.05100000000004</v>
      </c>
    </row>
    <row r="21" spans="1:18" x14ac:dyDescent="0.25">
      <c r="A21" s="31"/>
      <c r="D21" s="2" t="s">
        <v>67</v>
      </c>
      <c r="E21" s="2" t="s">
        <v>68</v>
      </c>
      <c r="F21" s="2" t="s">
        <v>66</v>
      </c>
      <c r="G21" s="1">
        <v>1</v>
      </c>
      <c r="H21" s="1"/>
      <c r="I21" s="1"/>
      <c r="J21" s="1" t="s">
        <v>147</v>
      </c>
      <c r="K21" s="20">
        <v>3.25</v>
      </c>
      <c r="L21" s="1">
        <f t="shared" si="0"/>
        <v>3.25</v>
      </c>
      <c r="M21" s="1">
        <f t="shared" si="1"/>
        <v>9.75</v>
      </c>
    </row>
    <row r="22" spans="1:18" x14ac:dyDescent="0.25">
      <c r="A22" s="31"/>
      <c r="D22" s="2" t="s">
        <v>69</v>
      </c>
      <c r="E22" s="2" t="s">
        <v>70</v>
      </c>
      <c r="F22" s="2" t="s">
        <v>71</v>
      </c>
      <c r="G22" s="1">
        <v>1</v>
      </c>
      <c r="H22" s="1"/>
      <c r="I22" s="1"/>
      <c r="J22" s="1" t="s">
        <v>148</v>
      </c>
      <c r="K22" s="20">
        <v>3.18</v>
      </c>
      <c r="L22" s="1">
        <f t="shared" si="0"/>
        <v>3.18</v>
      </c>
      <c r="M22" s="1">
        <f t="shared" si="1"/>
        <v>9.5400000000000009</v>
      </c>
    </row>
    <row r="23" spans="1:18" x14ac:dyDescent="0.25">
      <c r="A23" s="31"/>
      <c r="D23" s="2" t="s">
        <v>72</v>
      </c>
      <c r="E23" s="2" t="s">
        <v>73</v>
      </c>
      <c r="F23" s="2" t="s">
        <v>74</v>
      </c>
      <c r="G23" s="1">
        <v>7</v>
      </c>
      <c r="H23" s="1"/>
      <c r="I23" s="1"/>
      <c r="J23" s="1" t="s">
        <v>149</v>
      </c>
      <c r="K23" s="20">
        <v>0.98799999999999999</v>
      </c>
      <c r="L23" s="1">
        <f t="shared" si="0"/>
        <v>6.9160000000000004</v>
      </c>
      <c r="M23" s="1">
        <f t="shared" si="1"/>
        <v>20.748000000000001</v>
      </c>
    </row>
    <row r="24" spans="1:18" x14ac:dyDescent="0.25">
      <c r="A24" s="31"/>
      <c r="D24" s="2" t="s">
        <v>75</v>
      </c>
      <c r="E24" s="2" t="s">
        <v>48</v>
      </c>
      <c r="F24" s="2" t="s">
        <v>76</v>
      </c>
      <c r="G24" s="1">
        <v>2</v>
      </c>
      <c r="H24" s="1"/>
      <c r="I24" s="1"/>
      <c r="J24" s="1" t="s">
        <v>150</v>
      </c>
      <c r="K24" s="20">
        <v>1.23</v>
      </c>
      <c r="L24" s="1">
        <f t="shared" si="0"/>
        <v>2.46</v>
      </c>
      <c r="M24" s="1">
        <f t="shared" si="1"/>
        <v>7.38</v>
      </c>
    </row>
    <row r="25" spans="1:18" s="7" customFormat="1" x14ac:dyDescent="0.25">
      <c r="A25" s="31"/>
      <c r="D25" s="5" t="s">
        <v>90</v>
      </c>
      <c r="E25" s="5" t="s">
        <v>77</v>
      </c>
      <c r="F25" s="5" t="s">
        <v>93</v>
      </c>
      <c r="G25" s="6">
        <v>7</v>
      </c>
      <c r="H25" s="5" t="s">
        <v>78</v>
      </c>
      <c r="I25" s="1" t="s">
        <v>125</v>
      </c>
      <c r="J25" s="6" t="s">
        <v>151</v>
      </c>
      <c r="K25" s="20">
        <v>0.254</v>
      </c>
      <c r="L25" s="1">
        <f t="shared" si="0"/>
        <v>1.778</v>
      </c>
      <c r="M25" s="1">
        <f t="shared" si="1"/>
        <v>5.3339999999999996</v>
      </c>
      <c r="N25" s="35" t="s">
        <v>224</v>
      </c>
    </row>
    <row r="26" spans="1:18" x14ac:dyDescent="0.25">
      <c r="A26" s="31"/>
      <c r="D26" s="1" t="s">
        <v>94</v>
      </c>
      <c r="E26" s="2" t="s">
        <v>91</v>
      </c>
      <c r="F26" s="1" t="s">
        <v>92</v>
      </c>
      <c r="G26" s="1">
        <v>8</v>
      </c>
      <c r="H26" s="1"/>
      <c r="I26" s="1" t="s">
        <v>124</v>
      </c>
      <c r="J26" s="11" t="s">
        <v>152</v>
      </c>
      <c r="K26" s="20">
        <v>0.34200000000000003</v>
      </c>
      <c r="L26" s="1">
        <f t="shared" si="0"/>
        <v>2.7360000000000002</v>
      </c>
      <c r="M26" s="1">
        <f t="shared" si="1"/>
        <v>8.2080000000000002</v>
      </c>
      <c r="N26" s="35"/>
    </row>
    <row r="27" spans="1:18" s="7" customFormat="1" x14ac:dyDescent="0.25">
      <c r="A27" s="31"/>
      <c r="D27" s="9" t="s">
        <v>109</v>
      </c>
      <c r="E27" s="5" t="s">
        <v>95</v>
      </c>
      <c r="F27" s="6" t="s">
        <v>119</v>
      </c>
      <c r="G27" s="10">
        <v>4</v>
      </c>
      <c r="H27" s="5" t="s">
        <v>56</v>
      </c>
      <c r="I27" s="6"/>
      <c r="J27" s="6" t="s">
        <v>153</v>
      </c>
      <c r="K27" s="6">
        <v>0.11799999999999999</v>
      </c>
      <c r="L27" s="1">
        <f t="shared" si="0"/>
        <v>0.47199999999999998</v>
      </c>
      <c r="M27" s="1">
        <f t="shared" si="1"/>
        <v>1.4159999999999999</v>
      </c>
      <c r="N27" s="35"/>
    </row>
    <row r="28" spans="1:18" s="7" customFormat="1" x14ac:dyDescent="0.25">
      <c r="A28" s="31"/>
      <c r="D28" s="9" t="s">
        <v>120</v>
      </c>
      <c r="E28" s="5" t="s">
        <v>96</v>
      </c>
      <c r="F28" s="6" t="s">
        <v>121</v>
      </c>
      <c r="G28" s="10">
        <v>3</v>
      </c>
      <c r="H28" s="5" t="s">
        <v>56</v>
      </c>
      <c r="I28" s="6"/>
      <c r="J28" s="6" t="s">
        <v>154</v>
      </c>
      <c r="K28" s="6">
        <v>0.36799999999999999</v>
      </c>
      <c r="L28" s="1">
        <f t="shared" si="0"/>
        <v>1.1040000000000001</v>
      </c>
      <c r="M28" s="1">
        <f t="shared" si="1"/>
        <v>3.3120000000000003</v>
      </c>
      <c r="N28" s="35"/>
    </row>
    <row r="29" spans="1:18" s="7" customFormat="1" x14ac:dyDescent="0.25">
      <c r="A29" s="31"/>
      <c r="D29" s="9" t="s">
        <v>79</v>
      </c>
      <c r="E29" s="5" t="s">
        <v>100</v>
      </c>
      <c r="F29" s="6" t="s">
        <v>123</v>
      </c>
      <c r="G29" s="10">
        <v>21</v>
      </c>
      <c r="H29" s="5" t="s">
        <v>56</v>
      </c>
      <c r="I29" s="6"/>
      <c r="J29" s="6" t="s">
        <v>155</v>
      </c>
      <c r="K29" s="6">
        <v>0.36799999999999999</v>
      </c>
      <c r="L29" s="1">
        <f t="shared" si="0"/>
        <v>7.7279999999999998</v>
      </c>
      <c r="M29" s="1">
        <f t="shared" si="1"/>
        <v>23.183999999999997</v>
      </c>
      <c r="N29" s="35"/>
    </row>
    <row r="30" spans="1:18" s="7" customFormat="1" x14ac:dyDescent="0.25">
      <c r="A30" s="31"/>
      <c r="D30" s="9" t="s">
        <v>80</v>
      </c>
      <c r="E30" s="5" t="s">
        <v>97</v>
      </c>
      <c r="F30" s="6" t="s">
        <v>122</v>
      </c>
      <c r="G30" s="10">
        <v>4</v>
      </c>
      <c r="H30" s="5" t="s">
        <v>56</v>
      </c>
      <c r="I30" s="6"/>
      <c r="J30" s="6" t="s">
        <v>156</v>
      </c>
      <c r="K30" s="21">
        <v>0.09</v>
      </c>
      <c r="L30" s="1">
        <f t="shared" si="0"/>
        <v>0.36</v>
      </c>
      <c r="M30" s="1">
        <f t="shared" si="1"/>
        <v>1.08</v>
      </c>
      <c r="N30" s="35"/>
    </row>
    <row r="31" spans="1:18" s="7" customFormat="1" x14ac:dyDescent="0.25">
      <c r="A31" s="31"/>
      <c r="D31" s="9" t="s">
        <v>81</v>
      </c>
      <c r="E31" s="5" t="s">
        <v>98</v>
      </c>
      <c r="F31" s="6" t="s">
        <v>111</v>
      </c>
      <c r="G31" s="10">
        <v>2</v>
      </c>
      <c r="H31" s="5" t="s">
        <v>56</v>
      </c>
      <c r="I31" s="6"/>
      <c r="J31" s="12" t="s">
        <v>157</v>
      </c>
      <c r="K31" s="20">
        <v>2.1000000000000001E-2</v>
      </c>
      <c r="L31" s="1">
        <f t="shared" si="0"/>
        <v>4.2000000000000003E-2</v>
      </c>
      <c r="M31" s="1">
        <f t="shared" si="1"/>
        <v>0.126</v>
      </c>
      <c r="N31" s="35"/>
    </row>
    <row r="32" spans="1:18" s="7" customFormat="1" x14ac:dyDescent="0.25">
      <c r="A32" s="31"/>
      <c r="D32" s="9" t="s">
        <v>82</v>
      </c>
      <c r="E32" s="5" t="s">
        <v>99</v>
      </c>
      <c r="F32" s="6" t="s">
        <v>112</v>
      </c>
      <c r="G32" s="10">
        <v>4</v>
      </c>
      <c r="H32" s="5" t="s">
        <v>56</v>
      </c>
      <c r="I32" s="6"/>
      <c r="J32" s="6" t="s">
        <v>158</v>
      </c>
      <c r="K32" s="20">
        <v>3.7999999999999999E-2</v>
      </c>
      <c r="L32" s="1">
        <f t="shared" si="0"/>
        <v>0.152</v>
      </c>
      <c r="M32" s="1">
        <f t="shared" si="1"/>
        <v>0.45599999999999996</v>
      </c>
      <c r="N32" s="35"/>
    </row>
    <row r="33" spans="1:16" s="7" customFormat="1" x14ac:dyDescent="0.25">
      <c r="A33" s="31"/>
      <c r="D33" s="9" t="s">
        <v>83</v>
      </c>
      <c r="E33" s="5" t="s">
        <v>101</v>
      </c>
      <c r="F33" s="6" t="s">
        <v>110</v>
      </c>
      <c r="G33" s="10">
        <v>1</v>
      </c>
      <c r="H33" s="5" t="s">
        <v>56</v>
      </c>
      <c r="I33" s="6"/>
      <c r="J33" s="6" t="s">
        <v>159</v>
      </c>
      <c r="K33" s="20">
        <v>9.5000000000000001E-2</v>
      </c>
      <c r="L33" s="1">
        <f t="shared" si="0"/>
        <v>9.5000000000000001E-2</v>
      </c>
      <c r="M33" s="1">
        <f t="shared" si="1"/>
        <v>0.28500000000000003</v>
      </c>
      <c r="N33" s="35"/>
      <c r="O33">
        <f>SUM(M25:M41)</f>
        <v>91.856999999999999</v>
      </c>
      <c r="P33" s="7" t="s">
        <v>225</v>
      </c>
    </row>
    <row r="34" spans="1:16" s="7" customFormat="1" x14ac:dyDescent="0.25">
      <c r="A34" s="31"/>
      <c r="D34" s="9" t="s">
        <v>84</v>
      </c>
      <c r="E34" s="5" t="s">
        <v>102</v>
      </c>
      <c r="F34" s="6" t="s">
        <v>113</v>
      </c>
      <c r="G34" s="10">
        <v>2</v>
      </c>
      <c r="H34" s="5" t="s">
        <v>8</v>
      </c>
      <c r="I34" s="6"/>
      <c r="J34" s="6" t="s">
        <v>161</v>
      </c>
      <c r="K34" s="20">
        <v>0.38</v>
      </c>
      <c r="L34" s="1">
        <f t="shared" si="0"/>
        <v>0.76</v>
      </c>
      <c r="M34" s="1">
        <f t="shared" si="1"/>
        <v>2.2800000000000002</v>
      </c>
      <c r="N34" s="35"/>
    </row>
    <row r="35" spans="1:16" s="7" customFormat="1" x14ac:dyDescent="0.25">
      <c r="A35" s="31"/>
      <c r="D35" s="9" t="s">
        <v>85</v>
      </c>
      <c r="E35" s="5" t="s">
        <v>104</v>
      </c>
      <c r="F35" s="6" t="s">
        <v>114</v>
      </c>
      <c r="G35" s="10">
        <v>4</v>
      </c>
      <c r="H35" s="5" t="s">
        <v>8</v>
      </c>
      <c r="I35" s="6"/>
      <c r="J35" s="6" t="s">
        <v>162</v>
      </c>
      <c r="K35" s="6">
        <v>0.85</v>
      </c>
      <c r="L35" s="1">
        <f t="shared" si="0"/>
        <v>3.4</v>
      </c>
      <c r="M35" s="1">
        <f t="shared" si="1"/>
        <v>10.199999999999999</v>
      </c>
      <c r="N35" s="35"/>
    </row>
    <row r="36" spans="1:16" x14ac:dyDescent="0.25">
      <c r="A36" s="31"/>
      <c r="D36" s="2" t="s">
        <v>9</v>
      </c>
      <c r="E36" s="2" t="s">
        <v>103</v>
      </c>
      <c r="F36" s="2" t="s">
        <v>10</v>
      </c>
      <c r="G36" s="1">
        <v>2</v>
      </c>
      <c r="H36" s="5" t="s">
        <v>8</v>
      </c>
      <c r="I36" s="1"/>
      <c r="J36" s="1" t="s">
        <v>163</v>
      </c>
      <c r="K36" s="20">
        <v>0.47</v>
      </c>
      <c r="L36" s="1">
        <f t="shared" si="0"/>
        <v>0.94</v>
      </c>
      <c r="M36" s="1">
        <f t="shared" si="1"/>
        <v>2.82</v>
      </c>
      <c r="N36" s="35"/>
    </row>
    <row r="37" spans="1:16" s="7" customFormat="1" x14ac:dyDescent="0.25">
      <c r="A37" s="31"/>
      <c r="D37" s="9" t="s">
        <v>86</v>
      </c>
      <c r="E37" s="5" t="s">
        <v>106</v>
      </c>
      <c r="F37" s="6" t="s">
        <v>115</v>
      </c>
      <c r="G37" s="10">
        <v>2</v>
      </c>
      <c r="H37" s="5" t="s">
        <v>8</v>
      </c>
      <c r="I37" s="6"/>
      <c r="J37" s="6" t="s">
        <v>164</v>
      </c>
      <c r="K37" s="20">
        <v>0.12</v>
      </c>
      <c r="L37" s="1">
        <f t="shared" si="0"/>
        <v>0.24</v>
      </c>
      <c r="M37" s="1">
        <f t="shared" si="1"/>
        <v>0.72</v>
      </c>
      <c r="N37" s="35"/>
    </row>
    <row r="38" spans="1:16" s="7" customFormat="1" x14ac:dyDescent="0.25">
      <c r="A38" s="31"/>
      <c r="D38" s="9" t="s">
        <v>87</v>
      </c>
      <c r="E38" s="5" t="s">
        <v>107</v>
      </c>
      <c r="F38" s="6" t="s">
        <v>116</v>
      </c>
      <c r="G38" s="10">
        <v>13</v>
      </c>
      <c r="H38" s="5" t="s">
        <v>8</v>
      </c>
      <c r="I38" s="6"/>
      <c r="J38" s="6" t="s">
        <v>165</v>
      </c>
      <c r="K38" s="20">
        <v>0.152</v>
      </c>
      <c r="L38" s="1">
        <f t="shared" si="0"/>
        <v>1.976</v>
      </c>
      <c r="M38" s="1">
        <f t="shared" si="1"/>
        <v>5.9279999999999999</v>
      </c>
      <c r="N38" s="35"/>
    </row>
    <row r="39" spans="1:16" s="7" customFormat="1" x14ac:dyDescent="0.25">
      <c r="A39" s="31"/>
      <c r="D39" s="9" t="s">
        <v>88</v>
      </c>
      <c r="E39" s="5" t="s">
        <v>7</v>
      </c>
      <c r="F39" s="6" t="s">
        <v>117</v>
      </c>
      <c r="G39" s="9">
        <v>2</v>
      </c>
      <c r="H39" s="5" t="s">
        <v>8</v>
      </c>
      <c r="I39" s="6"/>
      <c r="J39" s="12" t="s">
        <v>166</v>
      </c>
      <c r="K39" s="20">
        <v>0.20899999999999999</v>
      </c>
      <c r="L39" s="1">
        <f t="shared" si="0"/>
        <v>0.41799999999999998</v>
      </c>
      <c r="M39" s="1">
        <f t="shared" si="1"/>
        <v>1.254</v>
      </c>
      <c r="N39" s="35"/>
    </row>
    <row r="40" spans="1:16" x14ac:dyDescent="0.25">
      <c r="A40" s="31"/>
      <c r="D40" s="9" t="s">
        <v>89</v>
      </c>
      <c r="E40" s="5" t="s">
        <v>108</v>
      </c>
      <c r="F40" s="6" t="s">
        <v>118</v>
      </c>
      <c r="G40" s="10">
        <v>4</v>
      </c>
      <c r="H40" s="5" t="s">
        <v>8</v>
      </c>
      <c r="I40" s="6"/>
      <c r="J40" s="6" t="s">
        <v>167</v>
      </c>
      <c r="K40" s="20">
        <v>0.252</v>
      </c>
      <c r="L40" s="1">
        <f t="shared" si="0"/>
        <v>1.008</v>
      </c>
      <c r="M40" s="1">
        <f t="shared" si="1"/>
        <v>3.024</v>
      </c>
      <c r="N40" s="35"/>
    </row>
    <row r="41" spans="1:16" ht="15.75" thickBot="1" x14ac:dyDescent="0.3">
      <c r="A41" s="31"/>
      <c r="D41" s="6" t="s">
        <v>170</v>
      </c>
      <c r="E41" s="6"/>
      <c r="F41" s="6" t="s">
        <v>171</v>
      </c>
      <c r="G41" s="6">
        <v>1</v>
      </c>
      <c r="H41" s="6"/>
      <c r="I41" s="6"/>
      <c r="J41" s="11" t="s">
        <v>172</v>
      </c>
      <c r="K41" s="6">
        <f>M41/5</f>
        <v>4.4459999999999997</v>
      </c>
      <c r="L41" s="6">
        <f>K41</f>
        <v>4.4459999999999997</v>
      </c>
      <c r="M41" s="6">
        <v>22.23</v>
      </c>
    </row>
    <row r="42" spans="1:16" s="7" customFormat="1" ht="15.75" thickBot="1" x14ac:dyDescent="0.3">
      <c r="E42" s="36"/>
      <c r="F42" s="36"/>
      <c r="G42" s="37"/>
      <c r="H42" s="37"/>
      <c r="I42" s="36"/>
      <c r="J42" s="36" t="s">
        <v>226</v>
      </c>
      <c r="K42" s="38">
        <f>SUM(K4:K41)</f>
        <v>60.501999999999995</v>
      </c>
      <c r="L42" s="38">
        <f t="shared" ref="L42:M42" si="2">SUM(L4:L41)</f>
        <v>140.46300000000002</v>
      </c>
      <c r="M42" s="38">
        <f t="shared" si="2"/>
        <v>430.28100000000006</v>
      </c>
    </row>
    <row r="43" spans="1:16" x14ac:dyDescent="0.25">
      <c r="J43" s="39" t="s">
        <v>227</v>
      </c>
      <c r="K43" s="39"/>
      <c r="L43" s="39"/>
      <c r="M43" s="39">
        <f>M42-O33-O8</f>
        <v>192.02400000000011</v>
      </c>
    </row>
  </sheetData>
  <mergeCells count="2">
    <mergeCell ref="A3:A41"/>
    <mergeCell ref="N25:N40"/>
  </mergeCells>
  <phoneticPr fontId="2" type="noConversion"/>
  <hyperlinks>
    <hyperlink ref="J11" r:id="rId1" xr:uid="{C34F1E2D-9967-43DD-9ED6-68E542E9143A}"/>
    <hyperlink ref="J26" r:id="rId2" xr:uid="{11151C1F-4D62-497E-9DCE-9009CE4FCAA0}"/>
    <hyperlink ref="J31" r:id="rId3" xr:uid="{ED81F0EE-4D79-4084-A91F-C4B2E2ACC89E}"/>
    <hyperlink ref="J39" r:id="rId4" xr:uid="{5EDE90B8-D97C-49C4-8356-611FADA2AD5C}"/>
    <hyperlink ref="J41" r:id="rId5" xr:uid="{53F9ED39-90AB-4C53-A48D-F5FFE149B7FA}"/>
    <hyperlink ref="J13" r:id="rId6" xr:uid="{A9758AEC-99B0-4EDC-82AB-F2DC9B4A4090}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243C-CAE5-4CFA-B4AE-FC7B11F67B2C}">
  <dimension ref="A3:H8"/>
  <sheetViews>
    <sheetView workbookViewId="0">
      <selection activeCell="C8" sqref="C8"/>
    </sheetView>
  </sheetViews>
  <sheetFormatPr baseColWidth="10" defaultRowHeight="15" x14ac:dyDescent="0.25"/>
  <cols>
    <col min="2" max="2" width="29" bestFit="1" customWidth="1"/>
    <col min="3" max="3" width="35.5703125" bestFit="1" customWidth="1"/>
    <col min="5" max="5" width="14.28515625" bestFit="1" customWidth="1"/>
    <col min="6" max="6" width="12" bestFit="1" customWidth="1"/>
    <col min="7" max="8" width="20.5703125" bestFit="1" customWidth="1"/>
  </cols>
  <sheetData>
    <row r="3" spans="1:8" x14ac:dyDescent="0.25">
      <c r="A3" s="34" t="s">
        <v>180</v>
      </c>
      <c r="B3" s="3" t="s">
        <v>0</v>
      </c>
      <c r="C3" s="3" t="s">
        <v>160</v>
      </c>
      <c r="D3" s="3" t="s">
        <v>186</v>
      </c>
      <c r="E3" s="3" t="s">
        <v>2</v>
      </c>
      <c r="F3" s="22" t="s">
        <v>173</v>
      </c>
      <c r="G3" s="3" t="s">
        <v>174</v>
      </c>
      <c r="H3" s="3" t="s">
        <v>174</v>
      </c>
    </row>
    <row r="4" spans="1:8" x14ac:dyDescent="0.25">
      <c r="A4" s="34"/>
      <c r="B4" s="8" t="s">
        <v>176</v>
      </c>
      <c r="C4" t="s">
        <v>184</v>
      </c>
      <c r="E4" t="s">
        <v>187</v>
      </c>
      <c r="F4" t="s">
        <v>188</v>
      </c>
      <c r="G4" s="32" t="s">
        <v>192</v>
      </c>
      <c r="H4" s="32"/>
    </row>
    <row r="5" spans="1:8" x14ac:dyDescent="0.25">
      <c r="A5" s="34"/>
      <c r="B5" s="8" t="s">
        <v>177</v>
      </c>
      <c r="C5" t="s">
        <v>182</v>
      </c>
      <c r="E5" t="s">
        <v>187</v>
      </c>
      <c r="F5" t="s">
        <v>189</v>
      </c>
      <c r="G5" s="33"/>
      <c r="H5" s="33"/>
    </row>
    <row r="6" spans="1:8" x14ac:dyDescent="0.25">
      <c r="A6" s="34"/>
      <c r="B6" s="8" t="s">
        <v>178</v>
      </c>
      <c r="C6" t="s">
        <v>185</v>
      </c>
      <c r="E6" t="s">
        <v>187</v>
      </c>
      <c r="F6" t="s">
        <v>190</v>
      </c>
      <c r="G6" s="33"/>
      <c r="H6" s="33"/>
    </row>
    <row r="7" spans="1:8" x14ac:dyDescent="0.25">
      <c r="A7" s="34"/>
      <c r="B7" s="8" t="s">
        <v>179</v>
      </c>
      <c r="C7" s="8" t="s">
        <v>183</v>
      </c>
      <c r="E7" t="s">
        <v>187</v>
      </c>
      <c r="F7" t="s">
        <v>191</v>
      </c>
      <c r="G7" s="33"/>
      <c r="H7" s="33"/>
    </row>
    <row r="8" spans="1:8" x14ac:dyDescent="0.25">
      <c r="A8" s="34"/>
      <c r="B8" s="8" t="s">
        <v>180</v>
      </c>
      <c r="C8" s="23" t="s">
        <v>181</v>
      </c>
      <c r="D8" t="s">
        <v>196</v>
      </c>
      <c r="E8" t="s">
        <v>194</v>
      </c>
      <c r="F8" t="s">
        <v>193</v>
      </c>
      <c r="G8" t="s">
        <v>195</v>
      </c>
      <c r="H8">
        <f>189/100*5</f>
        <v>9.4499999999999993</v>
      </c>
    </row>
  </sheetData>
  <mergeCells count="2">
    <mergeCell ref="G4:H7"/>
    <mergeCell ref="A3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6CCD-ABBF-4AE1-A065-D18E4D110362}">
  <dimension ref="D4:J9"/>
  <sheetViews>
    <sheetView workbookViewId="0">
      <selection activeCell="J9" sqref="J9"/>
    </sheetView>
  </sheetViews>
  <sheetFormatPr baseColWidth="10" defaultRowHeight="15" x14ac:dyDescent="0.25"/>
  <cols>
    <col min="4" max="4" width="25.140625" bestFit="1" customWidth="1"/>
    <col min="5" max="5" width="32.85546875" bestFit="1" customWidth="1"/>
    <col min="6" max="6" width="23.42578125" bestFit="1" customWidth="1"/>
    <col min="7" max="7" width="22.7109375" bestFit="1" customWidth="1"/>
    <col min="9" max="9" width="13.140625" bestFit="1" customWidth="1"/>
  </cols>
  <sheetData>
    <row r="4" spans="4:10" x14ac:dyDescent="0.25">
      <c r="D4" s="24" t="s">
        <v>197</v>
      </c>
      <c r="E4" s="24" t="s">
        <v>198</v>
      </c>
      <c r="F4" s="24" t="s">
        <v>199</v>
      </c>
      <c r="G4" s="24" t="s">
        <v>200</v>
      </c>
      <c r="H4" s="28" t="s">
        <v>216</v>
      </c>
      <c r="I4" s="28" t="s">
        <v>221</v>
      </c>
      <c r="J4" s="28" t="s">
        <v>222</v>
      </c>
    </row>
    <row r="5" spans="4:10" x14ac:dyDescent="0.25">
      <c r="D5" s="25" t="s">
        <v>201</v>
      </c>
      <c r="E5" s="25" t="s">
        <v>202</v>
      </c>
      <c r="F5" s="25" t="s">
        <v>203</v>
      </c>
      <c r="G5" s="25" t="s">
        <v>204</v>
      </c>
      <c r="H5" t="s">
        <v>217</v>
      </c>
      <c r="I5">
        <v>255.56</v>
      </c>
      <c r="J5">
        <v>255.56</v>
      </c>
    </row>
    <row r="6" spans="4:10" x14ac:dyDescent="0.25">
      <c r="D6" s="25" t="s">
        <v>205</v>
      </c>
      <c r="E6" s="25" t="s">
        <v>206</v>
      </c>
      <c r="F6" s="25" t="s">
        <v>207</v>
      </c>
      <c r="G6" s="25" t="s">
        <v>208</v>
      </c>
      <c r="H6" s="30" t="s">
        <v>218</v>
      </c>
      <c r="I6">
        <f>J6/5</f>
        <v>121.44000000000001</v>
      </c>
      <c r="J6" s="13">
        <v>607.20000000000005</v>
      </c>
    </row>
    <row r="7" spans="4:10" ht="30" x14ac:dyDescent="0.25">
      <c r="D7" s="25" t="s">
        <v>209</v>
      </c>
      <c r="E7" s="25" t="s">
        <v>210</v>
      </c>
      <c r="F7" s="25" t="s">
        <v>211</v>
      </c>
      <c r="G7" s="26" t="s">
        <v>212</v>
      </c>
      <c r="H7" t="s">
        <v>220</v>
      </c>
      <c r="I7">
        <v>20.7</v>
      </c>
      <c r="J7">
        <f>I7*4</f>
        <v>82.8</v>
      </c>
    </row>
    <row r="8" spans="4:10" ht="30" x14ac:dyDescent="0.25">
      <c r="D8" s="25" t="s">
        <v>213</v>
      </c>
      <c r="E8" s="25" t="s">
        <v>214</v>
      </c>
      <c r="F8" s="27">
        <v>901200</v>
      </c>
      <c r="G8" s="26" t="s">
        <v>215</v>
      </c>
      <c r="H8" s="29" t="s">
        <v>219</v>
      </c>
      <c r="I8">
        <v>500</v>
      </c>
      <c r="J8">
        <v>500</v>
      </c>
    </row>
    <row r="9" spans="4:10" x14ac:dyDescent="0.25">
      <c r="I9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Placa_sensores_PIC24</vt:lpstr>
      <vt:lpstr>Cableado</vt:lpstr>
      <vt:lpstr>Sensores</vt:lpstr>
      <vt:lpstr>Placa_sensores_PIC24!Títulos_a_imprimir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Gabilondo Rekalde</dc:creator>
  <cp:lastModifiedBy>Alex Gabilondo Rekalde</cp:lastModifiedBy>
  <dcterms:created xsi:type="dcterms:W3CDTF">2025-05-30T10:34:54Z</dcterms:created>
  <dcterms:modified xsi:type="dcterms:W3CDTF">2025-06-02T18:08:09Z</dcterms:modified>
</cp:coreProperties>
</file>
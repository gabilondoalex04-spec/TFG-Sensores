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 Gabilondo\Desktop\carrera\FSB 2024-25\"/>
    </mc:Choice>
  </mc:AlternateContent>
  <xr:revisionPtr revIDLastSave="0" documentId="13_ncr:1_{E5EF8346-355F-4C80-B8F1-E8823E5325D0}" xr6:coauthVersionLast="47" xr6:coauthVersionMax="47" xr10:uidLastSave="{00000000-0000-0000-0000-000000000000}"/>
  <bookViews>
    <workbookView xWindow="-105" yWindow="0" windowWidth="14610" windowHeight="15585" activeTab="1" xr2:uid="{00000000-000D-0000-FFFF-FFFF00000000}"/>
  </bookViews>
  <sheets>
    <sheet name="Table 1" sheetId="1" r:id="rId1"/>
    <sheet name="Table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81" i="2" l="1"/>
  <c r="W81" i="2" s="1"/>
  <c r="Y81" i="2" s="1"/>
  <c r="Z81" i="2" s="1"/>
  <c r="V82" i="2"/>
  <c r="W82" i="2" s="1"/>
  <c r="Y82" i="2" s="1"/>
  <c r="Z82" i="2" s="1"/>
  <c r="V83" i="2"/>
  <c r="W83" i="2"/>
  <c r="Y83" i="2" s="1"/>
  <c r="Z83" i="2" s="1"/>
  <c r="X3" i="2"/>
  <c r="X4" i="2"/>
  <c r="X5" i="2"/>
  <c r="X6" i="2"/>
  <c r="X7" i="2"/>
  <c r="X8" i="2"/>
  <c r="X9" i="2"/>
  <c r="X10" i="2"/>
  <c r="X11" i="2"/>
  <c r="X12" i="2"/>
  <c r="X13" i="2"/>
  <c r="X14" i="2"/>
  <c r="X15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64" i="2"/>
  <c r="W64" i="2" s="1"/>
  <c r="Y64" i="2" s="1"/>
  <c r="Z64" i="2" s="1"/>
  <c r="V63" i="2"/>
  <c r="W63" i="2"/>
  <c r="Y63" i="2"/>
  <c r="R76" i="2"/>
  <c r="U76" i="2" s="1"/>
  <c r="X76" i="2" s="1"/>
  <c r="S76" i="2"/>
  <c r="R77" i="2"/>
  <c r="U77" i="2" s="1"/>
  <c r="X77" i="2" s="1"/>
  <c r="S77" i="2"/>
  <c r="R78" i="2"/>
  <c r="U78" i="2" s="1"/>
  <c r="X78" i="2" s="1"/>
  <c r="S78" i="2"/>
  <c r="R79" i="2"/>
  <c r="U79" i="2" s="1"/>
  <c r="X79" i="2" s="1"/>
  <c r="S79" i="2"/>
  <c r="R80" i="2"/>
  <c r="U80" i="2" s="1"/>
  <c r="X80" i="2" s="1"/>
  <c r="S80" i="2"/>
  <c r="R81" i="2"/>
  <c r="U81" i="2" s="1"/>
  <c r="X81" i="2" s="1"/>
  <c r="S81" i="2"/>
  <c r="R82" i="2"/>
  <c r="U82" i="2" s="1"/>
  <c r="X82" i="2" s="1"/>
  <c r="S82" i="2"/>
  <c r="R83" i="2"/>
  <c r="U83" i="2" s="1"/>
  <c r="X83" i="2" s="1"/>
  <c r="S83" i="2"/>
  <c r="R69" i="2"/>
  <c r="U69" i="2" s="1"/>
  <c r="X69" i="2" s="1"/>
  <c r="S69" i="2"/>
  <c r="R70" i="2"/>
  <c r="U70" i="2" s="1"/>
  <c r="X70" i="2" s="1"/>
  <c r="S70" i="2"/>
  <c r="R71" i="2"/>
  <c r="U71" i="2" s="1"/>
  <c r="X71" i="2" s="1"/>
  <c r="S71" i="2"/>
  <c r="R72" i="2"/>
  <c r="U72" i="2" s="1"/>
  <c r="X72" i="2" s="1"/>
  <c r="S72" i="2"/>
  <c r="R73" i="2"/>
  <c r="U73" i="2" s="1"/>
  <c r="X73" i="2" s="1"/>
  <c r="S73" i="2"/>
  <c r="R74" i="2"/>
  <c r="U74" i="2" s="1"/>
  <c r="X74" i="2" s="1"/>
  <c r="S74" i="2"/>
  <c r="R75" i="2"/>
  <c r="U75" i="2" s="1"/>
  <c r="X75" i="2" s="1"/>
  <c r="S75" i="2"/>
  <c r="R65" i="2"/>
  <c r="R66" i="2"/>
  <c r="R67" i="2"/>
  <c r="U67" i="2" s="1"/>
  <c r="X67" i="2" s="1"/>
  <c r="R68" i="2"/>
  <c r="S65" i="2"/>
  <c r="S66" i="2"/>
  <c r="S67" i="2"/>
  <c r="S68" i="2"/>
  <c r="U65" i="2"/>
  <c r="X65" i="2" s="1"/>
  <c r="U66" i="2"/>
  <c r="X66" i="2" s="1"/>
  <c r="U68" i="2"/>
  <c r="X68" i="2" s="1"/>
  <c r="R64" i="2"/>
  <c r="U64" i="2" s="1"/>
  <c r="X64" i="2" s="1"/>
  <c r="S64" i="2"/>
  <c r="U116" i="2"/>
  <c r="R7" i="2"/>
  <c r="S38" i="2"/>
  <c r="T38" i="2" s="1"/>
  <c r="S63" i="2"/>
  <c r="S109" i="2"/>
  <c r="U107" i="2"/>
  <c r="U106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24" i="2"/>
  <c r="U108" i="2"/>
  <c r="U109" i="2"/>
  <c r="U110" i="2"/>
  <c r="U111" i="2"/>
  <c r="U112" i="2"/>
  <c r="U113" i="2"/>
  <c r="U114" i="2"/>
  <c r="U115" i="2"/>
  <c r="U117" i="2"/>
  <c r="U118" i="2"/>
  <c r="U119" i="2"/>
  <c r="U120" i="2"/>
  <c r="U121" i="2"/>
  <c r="U122" i="2"/>
  <c r="U123" i="2"/>
  <c r="S112" i="2"/>
  <c r="S5" i="2"/>
  <c r="T5" i="2" s="1"/>
  <c r="S6" i="2"/>
  <c r="T6" i="2" s="1"/>
  <c r="S7" i="2"/>
  <c r="T7" i="2" s="1"/>
  <c r="S8" i="2"/>
  <c r="T8" i="2" s="1"/>
  <c r="S9" i="2"/>
  <c r="T9" i="2" s="1"/>
  <c r="S10" i="2"/>
  <c r="T10" i="2" s="1"/>
  <c r="S11" i="2"/>
  <c r="T11" i="2" s="1"/>
  <c r="S12" i="2"/>
  <c r="S13" i="2"/>
  <c r="T13" i="2" s="1"/>
  <c r="S14" i="2"/>
  <c r="T14" i="2" s="1"/>
  <c r="S15" i="2"/>
  <c r="T15" i="2" s="1"/>
  <c r="S16" i="2"/>
  <c r="S17" i="2"/>
  <c r="S18" i="2"/>
  <c r="T18" i="2" s="1"/>
  <c r="S19" i="2"/>
  <c r="T19" i="2" s="1"/>
  <c r="S20" i="2"/>
  <c r="T20" i="2" s="1"/>
  <c r="S21" i="2"/>
  <c r="T21" i="2" s="1"/>
  <c r="S22" i="2"/>
  <c r="T22" i="2" s="1"/>
  <c r="S23" i="2"/>
  <c r="T23" i="2" s="1"/>
  <c r="S24" i="2"/>
  <c r="T24" i="2" s="1"/>
  <c r="S25" i="2"/>
  <c r="T25" i="2" s="1"/>
  <c r="S26" i="2"/>
  <c r="T26" i="2" s="1"/>
  <c r="S27" i="2"/>
  <c r="T27" i="2" s="1"/>
  <c r="S28" i="2"/>
  <c r="S29" i="2"/>
  <c r="T29" i="2" s="1"/>
  <c r="S30" i="2"/>
  <c r="T30" i="2" s="1"/>
  <c r="S31" i="2"/>
  <c r="T31" i="2" s="1"/>
  <c r="S32" i="2"/>
  <c r="S33" i="2"/>
  <c r="S34" i="2"/>
  <c r="T34" i="2" s="1"/>
  <c r="S35" i="2"/>
  <c r="T35" i="2" s="1"/>
  <c r="S36" i="2"/>
  <c r="T36" i="2" s="1"/>
  <c r="S37" i="2"/>
  <c r="T37" i="2" s="1"/>
  <c r="S39" i="2"/>
  <c r="T39" i="2" s="1"/>
  <c r="S40" i="2"/>
  <c r="T40" i="2" s="1"/>
  <c r="S41" i="2"/>
  <c r="T41" i="2" s="1"/>
  <c r="S42" i="2"/>
  <c r="T42" i="2" s="1"/>
  <c r="S43" i="2"/>
  <c r="T43" i="2" s="1"/>
  <c r="S44" i="2"/>
  <c r="T44" i="2" s="1"/>
  <c r="S45" i="2"/>
  <c r="T45" i="2" s="1"/>
  <c r="S46" i="2"/>
  <c r="T46" i="2" s="1"/>
  <c r="S47" i="2"/>
  <c r="T47" i="2" s="1"/>
  <c r="S48" i="2"/>
  <c r="T48" i="2" s="1"/>
  <c r="S49" i="2"/>
  <c r="T49" i="2" s="1"/>
  <c r="S50" i="2"/>
  <c r="T50" i="2" s="1"/>
  <c r="S51" i="2"/>
  <c r="T51" i="2" s="1"/>
  <c r="S52" i="2"/>
  <c r="T52" i="2" s="1"/>
  <c r="S53" i="2"/>
  <c r="T53" i="2" s="1"/>
  <c r="S54" i="2"/>
  <c r="T54" i="2" s="1"/>
  <c r="S55" i="2"/>
  <c r="T55" i="2" s="1"/>
  <c r="S56" i="2"/>
  <c r="T56" i="2" s="1"/>
  <c r="S57" i="2"/>
  <c r="T57" i="2" s="1"/>
  <c r="S58" i="2"/>
  <c r="T58" i="2" s="1"/>
  <c r="S59" i="2"/>
  <c r="T59" i="2" s="1"/>
  <c r="S60" i="2"/>
  <c r="S61" i="2"/>
  <c r="T61" i="2" s="1"/>
  <c r="S62" i="2"/>
  <c r="T62" i="2" s="1"/>
  <c r="T63" i="2"/>
  <c r="S4" i="2"/>
  <c r="T4" i="2" s="1"/>
  <c r="S3" i="2"/>
  <c r="T3" i="2" s="1"/>
  <c r="R4" i="2"/>
  <c r="R5" i="2"/>
  <c r="R6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U32" i="2" s="1"/>
  <c r="X32" i="2" s="1"/>
  <c r="R33" i="2"/>
  <c r="R34" i="2"/>
  <c r="R35" i="2"/>
  <c r="U35" i="2" s="1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U53" i="2" s="1"/>
  <c r="X53" i="2" s="1"/>
  <c r="R54" i="2"/>
  <c r="R55" i="2"/>
  <c r="R56" i="2"/>
  <c r="R57" i="2"/>
  <c r="R58" i="2"/>
  <c r="R59" i="2"/>
  <c r="R60" i="2"/>
  <c r="R61" i="2"/>
  <c r="R62" i="2"/>
  <c r="R63" i="2"/>
  <c r="R3" i="2"/>
  <c r="U3" i="2" s="1"/>
  <c r="W65" i="2"/>
  <c r="Y65" i="2" s="1"/>
  <c r="Z65" i="2" s="1"/>
  <c r="W66" i="2"/>
  <c r="Y66" i="2" s="1"/>
  <c r="Z66" i="2" s="1"/>
  <c r="W67" i="2"/>
  <c r="Y67" i="2" s="1"/>
  <c r="Z67" i="2" s="1"/>
  <c r="W68" i="2"/>
  <c r="Y68" i="2" s="1"/>
  <c r="Z68" i="2" s="1"/>
  <c r="W69" i="2"/>
  <c r="Y69" i="2" s="1"/>
  <c r="Z69" i="2" s="1"/>
  <c r="W70" i="2"/>
  <c r="Y70" i="2" s="1"/>
  <c r="Z70" i="2" s="1"/>
  <c r="W71" i="2"/>
  <c r="Y71" i="2" s="1"/>
  <c r="Z71" i="2" s="1"/>
  <c r="W72" i="2"/>
  <c r="Y72" i="2" s="1"/>
  <c r="Z72" i="2" s="1"/>
  <c r="W73" i="2"/>
  <c r="Y73" i="2" s="1"/>
  <c r="Z73" i="2" s="1"/>
  <c r="W74" i="2"/>
  <c r="Y74" i="2" s="1"/>
  <c r="Z74" i="2" s="1"/>
  <c r="W75" i="2"/>
  <c r="Y75" i="2" s="1"/>
  <c r="Z75" i="2" s="1"/>
  <c r="W76" i="2"/>
  <c r="Y76" i="2" s="1"/>
  <c r="Z76" i="2" s="1"/>
  <c r="W77" i="2"/>
  <c r="Y77" i="2" s="1"/>
  <c r="Z77" i="2" s="1"/>
  <c r="W78" i="2"/>
  <c r="Y78" i="2" s="1"/>
  <c r="Z78" i="2" s="1"/>
  <c r="W79" i="2"/>
  <c r="Y79" i="2" s="1"/>
  <c r="Z79" i="2" s="1"/>
  <c r="W80" i="2"/>
  <c r="Y80" i="2" s="1"/>
  <c r="Z80" i="2" s="1"/>
  <c r="V3" i="2"/>
  <c r="W3" i="2" s="1"/>
  <c r="Y3" i="2" s="1"/>
  <c r="Z3" i="2" s="1"/>
  <c r="V16" i="2" l="1"/>
  <c r="W16" i="2" s="1"/>
  <c r="Y16" i="2" s="1"/>
  <c r="Z16" i="2" s="1"/>
  <c r="V17" i="2"/>
  <c r="W17" i="2" s="1"/>
  <c r="Y17" i="2" s="1"/>
  <c r="Z17" i="2" s="1"/>
  <c r="V32" i="2"/>
  <c r="W32" i="2" s="1"/>
  <c r="Y32" i="2" s="1"/>
  <c r="Z32" i="2" s="1"/>
  <c r="V33" i="2"/>
  <c r="W33" i="2" s="1"/>
  <c r="Y33" i="2" s="1"/>
  <c r="Z33" i="2" s="1"/>
  <c r="U5" i="2"/>
  <c r="X35" i="2"/>
  <c r="U34" i="2"/>
  <c r="X34" i="2" s="1"/>
  <c r="V49" i="2"/>
  <c r="W49" i="2" s="1"/>
  <c r="Y49" i="2" s="1"/>
  <c r="Z49" i="2" s="1"/>
  <c r="U33" i="2"/>
  <c r="X33" i="2" s="1"/>
  <c r="V48" i="2"/>
  <c r="W48" i="2" s="1"/>
  <c r="Y48" i="2" s="1"/>
  <c r="Z48" i="2" s="1"/>
  <c r="V4" i="2"/>
  <c r="W4" i="2" s="1"/>
  <c r="Y4" i="2" s="1"/>
  <c r="Z4" i="2" s="1"/>
  <c r="Z63" i="2"/>
  <c r="U47" i="2"/>
  <c r="X47" i="2" s="1"/>
  <c r="U31" i="2"/>
  <c r="X31" i="2" s="1"/>
  <c r="U15" i="2"/>
  <c r="V62" i="2"/>
  <c r="W62" i="2" s="1"/>
  <c r="Y62" i="2" s="1"/>
  <c r="Z62" i="2" s="1"/>
  <c r="V46" i="2"/>
  <c r="W46" i="2" s="1"/>
  <c r="Y46" i="2" s="1"/>
  <c r="Z46" i="2" s="1"/>
  <c r="V30" i="2"/>
  <c r="W30" i="2" s="1"/>
  <c r="Y30" i="2" s="1"/>
  <c r="Z30" i="2" s="1"/>
  <c r="V14" i="2"/>
  <c r="W14" i="2" s="1"/>
  <c r="Y14" i="2" s="1"/>
  <c r="Z14" i="2" s="1"/>
  <c r="V29" i="2"/>
  <c r="W29" i="2" s="1"/>
  <c r="Y29" i="2" s="1"/>
  <c r="Z29" i="2" s="1"/>
  <c r="T33" i="2"/>
  <c r="U44" i="2"/>
  <c r="X44" i="2" s="1"/>
  <c r="V28" i="2"/>
  <c r="W28" i="2" s="1"/>
  <c r="Y28" i="2" s="1"/>
  <c r="Z28" i="2" s="1"/>
  <c r="T32" i="2"/>
  <c r="T17" i="2"/>
  <c r="T16" i="2"/>
  <c r="U4" i="2"/>
  <c r="U37" i="2"/>
  <c r="X37" i="2" s="1"/>
  <c r="U36" i="2"/>
  <c r="X36" i="2" s="1"/>
  <c r="V45" i="2"/>
  <c r="W45" i="2" s="1"/>
  <c r="Y45" i="2" s="1"/>
  <c r="Z45" i="2" s="1"/>
  <c r="V47" i="2"/>
  <c r="W47" i="2" s="1"/>
  <c r="Y47" i="2" s="1"/>
  <c r="Z47" i="2" s="1"/>
  <c r="U63" i="2"/>
  <c r="X63" i="2" s="1"/>
  <c r="V61" i="2"/>
  <c r="W61" i="2" s="1"/>
  <c r="Y61" i="2" s="1"/>
  <c r="Z61" i="2" s="1"/>
  <c r="V13" i="2"/>
  <c r="W13" i="2" s="1"/>
  <c r="Y13" i="2" s="1"/>
  <c r="Z13" i="2" s="1"/>
  <c r="U49" i="2"/>
  <c r="X49" i="2" s="1"/>
  <c r="U17" i="2"/>
  <c r="X17" i="2" s="1"/>
  <c r="V31" i="2"/>
  <c r="W31" i="2" s="1"/>
  <c r="Y31" i="2" s="1"/>
  <c r="Z31" i="2" s="1"/>
  <c r="V15" i="2"/>
  <c r="W15" i="2" s="1"/>
  <c r="Y15" i="2" s="1"/>
  <c r="Z15" i="2" s="1"/>
  <c r="U48" i="2"/>
  <c r="X48" i="2" s="1"/>
  <c r="U16" i="2"/>
  <c r="X16" i="2" s="1"/>
  <c r="U60" i="2"/>
  <c r="X60" i="2" s="1"/>
  <c r="T60" i="2"/>
  <c r="U28" i="2"/>
  <c r="X28" i="2" s="1"/>
  <c r="T28" i="2"/>
  <c r="U12" i="2"/>
  <c r="T12" i="2"/>
  <c r="V60" i="2"/>
  <c r="W60" i="2" s="1"/>
  <c r="Y60" i="2" s="1"/>
  <c r="Z60" i="2" s="1"/>
  <c r="V44" i="2"/>
  <c r="W44" i="2" s="1"/>
  <c r="Y44" i="2" s="1"/>
  <c r="Z44" i="2" s="1"/>
  <c r="V12" i="2"/>
  <c r="W12" i="2" s="1"/>
  <c r="Y12" i="2" s="1"/>
  <c r="Z12" i="2" s="1"/>
  <c r="U59" i="2"/>
  <c r="X59" i="2" s="1"/>
  <c r="U43" i="2"/>
  <c r="X43" i="2" s="1"/>
  <c r="U27" i="2"/>
  <c r="X27" i="2" s="1"/>
  <c r="U11" i="2"/>
  <c r="U58" i="2"/>
  <c r="X58" i="2" s="1"/>
  <c r="U42" i="2"/>
  <c r="X42" i="2" s="1"/>
  <c r="U26" i="2"/>
  <c r="X26" i="2" s="1"/>
  <c r="U10" i="2"/>
  <c r="U57" i="2"/>
  <c r="X57" i="2" s="1"/>
  <c r="U41" i="2"/>
  <c r="X41" i="2" s="1"/>
  <c r="U25" i="2"/>
  <c r="X25" i="2" s="1"/>
  <c r="U9" i="2"/>
  <c r="U56" i="2"/>
  <c r="X56" i="2" s="1"/>
  <c r="U40" i="2"/>
  <c r="X40" i="2" s="1"/>
  <c r="U24" i="2"/>
  <c r="X24" i="2" s="1"/>
  <c r="U8" i="2"/>
  <c r="U55" i="2"/>
  <c r="X55" i="2" s="1"/>
  <c r="U39" i="2"/>
  <c r="X39" i="2" s="1"/>
  <c r="U23" i="2"/>
  <c r="X23" i="2" s="1"/>
  <c r="U7" i="2"/>
  <c r="U54" i="2"/>
  <c r="X54" i="2" s="1"/>
  <c r="U38" i="2"/>
  <c r="X38" i="2" s="1"/>
  <c r="U22" i="2"/>
  <c r="X22" i="2" s="1"/>
  <c r="U6" i="2"/>
  <c r="V53" i="2"/>
  <c r="W53" i="2" s="1"/>
  <c r="Y53" i="2" s="1"/>
  <c r="Z53" i="2" s="1"/>
  <c r="V37" i="2"/>
  <c r="W37" i="2" s="1"/>
  <c r="Y37" i="2" s="1"/>
  <c r="Z37" i="2" s="1"/>
  <c r="V21" i="2"/>
  <c r="W21" i="2" s="1"/>
  <c r="Y21" i="2" s="1"/>
  <c r="Z21" i="2" s="1"/>
  <c r="V5" i="2"/>
  <c r="W5" i="2" s="1"/>
  <c r="Y5" i="2" s="1"/>
  <c r="Z5" i="2" s="1"/>
  <c r="U21" i="2"/>
  <c r="X21" i="2" s="1"/>
  <c r="V52" i="2"/>
  <c r="W52" i="2" s="1"/>
  <c r="Y52" i="2" s="1"/>
  <c r="Z52" i="2" s="1"/>
  <c r="V36" i="2"/>
  <c r="W36" i="2" s="1"/>
  <c r="Y36" i="2" s="1"/>
  <c r="Z36" i="2" s="1"/>
  <c r="V20" i="2"/>
  <c r="W20" i="2" s="1"/>
  <c r="Y20" i="2" s="1"/>
  <c r="Z20" i="2" s="1"/>
  <c r="U20" i="2"/>
  <c r="X20" i="2" s="1"/>
  <c r="V51" i="2"/>
  <c r="W51" i="2" s="1"/>
  <c r="Y51" i="2" s="1"/>
  <c r="Z51" i="2" s="1"/>
  <c r="V35" i="2"/>
  <c r="W35" i="2" s="1"/>
  <c r="Y35" i="2" s="1"/>
  <c r="Z35" i="2" s="1"/>
  <c r="V19" i="2"/>
  <c r="W19" i="2" s="1"/>
  <c r="Y19" i="2" s="1"/>
  <c r="Z19" i="2" s="1"/>
  <c r="U52" i="2"/>
  <c r="X52" i="2" s="1"/>
  <c r="U19" i="2"/>
  <c r="X19" i="2" s="1"/>
  <c r="V50" i="2"/>
  <c r="W50" i="2" s="1"/>
  <c r="Y50" i="2" s="1"/>
  <c r="Z50" i="2" s="1"/>
  <c r="V34" i="2"/>
  <c r="W34" i="2" s="1"/>
  <c r="Y34" i="2" s="1"/>
  <c r="Z34" i="2" s="1"/>
  <c r="V18" i="2"/>
  <c r="W18" i="2" s="1"/>
  <c r="Y18" i="2" s="1"/>
  <c r="Z18" i="2" s="1"/>
  <c r="U51" i="2"/>
  <c r="X51" i="2" s="1"/>
  <c r="U18" i="2"/>
  <c r="X18" i="2" s="1"/>
  <c r="U50" i="2"/>
  <c r="X50" i="2" s="1"/>
  <c r="U62" i="2"/>
  <c r="X62" i="2" s="1"/>
  <c r="U46" i="2"/>
  <c r="X46" i="2" s="1"/>
  <c r="U30" i="2"/>
  <c r="X30" i="2" s="1"/>
  <c r="U14" i="2"/>
  <c r="U61" i="2"/>
  <c r="X61" i="2" s="1"/>
  <c r="U45" i="2"/>
  <c r="X45" i="2" s="1"/>
  <c r="U29" i="2"/>
  <c r="X29" i="2" s="1"/>
  <c r="U13" i="2"/>
  <c r="V59" i="2"/>
  <c r="W59" i="2" s="1"/>
  <c r="Y59" i="2" s="1"/>
  <c r="Z59" i="2" s="1"/>
  <c r="V11" i="2"/>
  <c r="W11" i="2" s="1"/>
  <c r="Y11" i="2" s="1"/>
  <c r="Z11" i="2" s="1"/>
  <c r="V43" i="2"/>
  <c r="W43" i="2" s="1"/>
  <c r="Y43" i="2" s="1"/>
  <c r="Z43" i="2" s="1"/>
  <c r="V58" i="2"/>
  <c r="W58" i="2" s="1"/>
  <c r="Y58" i="2" s="1"/>
  <c r="Z58" i="2" s="1"/>
  <c r="V27" i="2"/>
  <c r="W27" i="2" s="1"/>
  <c r="Y27" i="2" s="1"/>
  <c r="Z27" i="2" s="1"/>
  <c r="V42" i="2"/>
  <c r="W42" i="2" s="1"/>
  <c r="Y42" i="2" s="1"/>
  <c r="Z42" i="2" s="1"/>
  <c r="V26" i="2"/>
  <c r="W26" i="2" s="1"/>
  <c r="Y26" i="2" s="1"/>
  <c r="Z26" i="2" s="1"/>
  <c r="V10" i="2"/>
  <c r="W10" i="2" s="1"/>
  <c r="Y10" i="2" s="1"/>
  <c r="Z10" i="2" s="1"/>
  <c r="V57" i="2"/>
  <c r="W57" i="2" s="1"/>
  <c r="Y57" i="2" s="1"/>
  <c r="Z57" i="2" s="1"/>
  <c r="V41" i="2"/>
  <c r="W41" i="2" s="1"/>
  <c r="Y41" i="2" s="1"/>
  <c r="Z41" i="2" s="1"/>
  <c r="V25" i="2"/>
  <c r="W25" i="2" s="1"/>
  <c r="Y25" i="2" s="1"/>
  <c r="Z25" i="2" s="1"/>
  <c r="V9" i="2"/>
  <c r="W9" i="2" s="1"/>
  <c r="Y9" i="2" s="1"/>
  <c r="Z9" i="2" s="1"/>
  <c r="V56" i="2"/>
  <c r="W56" i="2" s="1"/>
  <c r="Y56" i="2" s="1"/>
  <c r="Z56" i="2" s="1"/>
  <c r="V40" i="2"/>
  <c r="W40" i="2" s="1"/>
  <c r="Y40" i="2" s="1"/>
  <c r="Z40" i="2" s="1"/>
  <c r="V24" i="2"/>
  <c r="W24" i="2" s="1"/>
  <c r="Y24" i="2" s="1"/>
  <c r="Z24" i="2" s="1"/>
  <c r="V8" i="2"/>
  <c r="W8" i="2" s="1"/>
  <c r="Y8" i="2" s="1"/>
  <c r="Z8" i="2" s="1"/>
  <c r="V55" i="2"/>
  <c r="W55" i="2" s="1"/>
  <c r="Y55" i="2" s="1"/>
  <c r="Z55" i="2" s="1"/>
  <c r="V39" i="2"/>
  <c r="W39" i="2" s="1"/>
  <c r="Y39" i="2" s="1"/>
  <c r="Z39" i="2" s="1"/>
  <c r="V23" i="2"/>
  <c r="W23" i="2" s="1"/>
  <c r="Y23" i="2" s="1"/>
  <c r="Z23" i="2" s="1"/>
  <c r="V7" i="2"/>
  <c r="W7" i="2" s="1"/>
  <c r="Y7" i="2" s="1"/>
  <c r="Z7" i="2" s="1"/>
  <c r="V54" i="2"/>
  <c r="W54" i="2" s="1"/>
  <c r="Y54" i="2" s="1"/>
  <c r="Z54" i="2" s="1"/>
  <c r="V6" i="2"/>
  <c r="W6" i="2" s="1"/>
  <c r="Y6" i="2" s="1"/>
  <c r="Z6" i="2" s="1"/>
  <c r="V38" i="2"/>
  <c r="W38" i="2" s="1"/>
  <c r="Y38" i="2" s="1"/>
  <c r="Z38" i="2" s="1"/>
  <c r="V22" i="2"/>
  <c r="W22" i="2" s="1"/>
  <c r="Y22" i="2" s="1"/>
  <c r="Z22" i="2" s="1"/>
</calcChain>
</file>

<file path=xl/sharedStrings.xml><?xml version="1.0" encoding="utf-8"?>
<sst xmlns="http://schemas.openxmlformats.org/spreadsheetml/2006/main" count="533" uniqueCount="299">
  <si>
    <r>
      <rPr>
        <sz val="11"/>
        <rFont val="Calibri"/>
        <family val="1"/>
      </rPr>
      <t>Stock nr.</t>
    </r>
  </si>
  <si>
    <r>
      <rPr>
        <sz val="11"/>
        <rFont val="Calibri"/>
        <family val="1"/>
      </rPr>
      <t>124‐1079</t>
    </r>
  </si>
  <si>
    <r>
      <rPr>
        <sz val="11"/>
        <rFont val="Calibri"/>
        <family val="1"/>
      </rPr>
      <t>124‐1080</t>
    </r>
  </si>
  <si>
    <r>
      <rPr>
        <sz val="11"/>
        <rFont val="Calibri"/>
        <family val="1"/>
      </rPr>
      <t>124‐1081</t>
    </r>
  </si>
  <si>
    <r>
      <rPr>
        <sz val="11"/>
        <rFont val="Calibri"/>
        <family val="1"/>
      </rPr>
      <t>124‐1082</t>
    </r>
  </si>
  <si>
    <r>
      <rPr>
        <b/>
        <sz val="11"/>
        <rFont val="Calibri"/>
        <family val="1"/>
      </rPr>
      <t xml:space="preserve">TEMPERATURE VS RESISTANCE CHARACTERISTICS
</t>
    </r>
    <r>
      <rPr>
        <b/>
        <sz val="11"/>
        <rFont val="Calibri"/>
        <family val="1"/>
      </rPr>
      <t xml:space="preserve">Resistance 10.0k ohms at 25 deg. C Resistance Tolerance + / ‐ 0.5 %
</t>
    </r>
    <r>
      <rPr>
        <b/>
        <sz val="11"/>
        <rFont val="Calibri"/>
        <family val="1"/>
      </rPr>
      <t xml:space="preserve">B Value 3 435K at 25/85 deg. C
</t>
    </r>
    <r>
      <rPr>
        <b/>
        <sz val="11"/>
        <rFont val="Calibri"/>
        <family val="1"/>
      </rPr>
      <t>B Value Tolerance + / ‐ 0.5 %</t>
    </r>
  </si>
  <si>
    <r>
      <rPr>
        <b/>
        <sz val="11"/>
        <rFont val="Calibri"/>
        <family val="1"/>
      </rPr>
      <t>Temp. °C</t>
    </r>
  </si>
  <si>
    <r>
      <rPr>
        <b/>
        <sz val="11"/>
        <rFont val="Calibri"/>
        <family val="1"/>
      </rPr>
      <t>Rmax. (k ohm)</t>
    </r>
  </si>
  <si>
    <r>
      <rPr>
        <b/>
        <sz val="11"/>
        <rFont val="Calibri"/>
        <family val="1"/>
      </rPr>
      <t>Rst. (k ohm)</t>
    </r>
  </si>
  <si>
    <r>
      <rPr>
        <b/>
        <sz val="11"/>
        <rFont val="Calibri"/>
        <family val="1"/>
      </rPr>
      <t>Rmin. (k ohm)</t>
    </r>
  </si>
  <si>
    <r>
      <rPr>
        <b/>
        <sz val="11"/>
        <rFont val="Calibri"/>
        <family val="1"/>
      </rPr>
      <t>Tolerance</t>
    </r>
  </si>
  <si>
    <r>
      <rPr>
        <b/>
        <sz val="11"/>
        <rFont val="Calibri"/>
        <family val="1"/>
      </rPr>
      <t>°C</t>
    </r>
  </si>
  <si>
    <r>
      <rPr>
        <b/>
        <sz val="11"/>
        <rFont val="Calibri"/>
        <family val="1"/>
      </rPr>
      <t>‐60</t>
    </r>
  </si>
  <si>
    <r>
      <rPr>
        <sz val="11"/>
        <rFont val="Calibri"/>
        <family val="1"/>
      </rPr>
      <t>‐0,40</t>
    </r>
  </si>
  <si>
    <r>
      <rPr>
        <sz val="11"/>
        <rFont val="Calibri"/>
        <family val="1"/>
      </rPr>
      <t>+0,41</t>
    </r>
  </si>
  <si>
    <r>
      <rPr>
        <b/>
        <sz val="11"/>
        <rFont val="Calibri"/>
        <family val="1"/>
      </rPr>
      <t>‐59</t>
    </r>
  </si>
  <si>
    <r>
      <rPr>
        <sz val="11"/>
        <rFont val="Calibri"/>
        <family val="1"/>
      </rPr>
      <t>+0,40</t>
    </r>
  </si>
  <si>
    <r>
      <rPr>
        <b/>
        <sz val="11"/>
        <rFont val="Calibri"/>
        <family val="1"/>
      </rPr>
      <t>‐58</t>
    </r>
  </si>
  <si>
    <r>
      <rPr>
        <b/>
        <sz val="11"/>
        <rFont val="Calibri"/>
        <family val="1"/>
      </rPr>
      <t>‐57</t>
    </r>
  </si>
  <si>
    <r>
      <rPr>
        <b/>
        <sz val="11"/>
        <rFont val="Calibri"/>
        <family val="1"/>
      </rPr>
      <t>‐56</t>
    </r>
  </si>
  <si>
    <r>
      <rPr>
        <b/>
        <sz val="11"/>
        <rFont val="Calibri"/>
        <family val="1"/>
      </rPr>
      <t>‐55</t>
    </r>
  </si>
  <si>
    <r>
      <rPr>
        <b/>
        <sz val="11"/>
        <rFont val="Calibri"/>
        <family val="1"/>
      </rPr>
      <t>‐54</t>
    </r>
  </si>
  <si>
    <r>
      <rPr>
        <b/>
        <sz val="11"/>
        <rFont val="Calibri"/>
        <family val="1"/>
      </rPr>
      <t>‐53</t>
    </r>
  </si>
  <si>
    <r>
      <rPr>
        <sz val="11"/>
        <rFont val="Calibri"/>
        <family val="1"/>
      </rPr>
      <t>‐0,39</t>
    </r>
  </si>
  <si>
    <r>
      <rPr>
        <b/>
        <sz val="11"/>
        <rFont val="Calibri"/>
        <family val="1"/>
      </rPr>
      <t>‐52</t>
    </r>
  </si>
  <si>
    <r>
      <rPr>
        <b/>
        <sz val="11"/>
        <rFont val="Calibri"/>
        <family val="1"/>
      </rPr>
      <t>‐51</t>
    </r>
  </si>
  <si>
    <r>
      <rPr>
        <sz val="11"/>
        <rFont val="Calibri"/>
        <family val="1"/>
      </rPr>
      <t>+0,39</t>
    </r>
  </si>
  <si>
    <r>
      <rPr>
        <b/>
        <sz val="11"/>
        <rFont val="Calibri"/>
        <family val="1"/>
      </rPr>
      <t>‐50</t>
    </r>
  </si>
  <si>
    <r>
      <rPr>
        <b/>
        <sz val="11"/>
        <rFont val="Calibri"/>
        <family val="1"/>
      </rPr>
      <t>‐49</t>
    </r>
  </si>
  <si>
    <r>
      <rPr>
        <b/>
        <sz val="11"/>
        <rFont val="Calibri"/>
        <family val="1"/>
      </rPr>
      <t>‐48</t>
    </r>
  </si>
  <si>
    <r>
      <rPr>
        <b/>
        <sz val="11"/>
        <rFont val="Calibri"/>
        <family val="1"/>
      </rPr>
      <t>‐47</t>
    </r>
  </si>
  <si>
    <r>
      <rPr>
        <b/>
        <sz val="11"/>
        <rFont val="Calibri"/>
        <family val="1"/>
      </rPr>
      <t>‐46</t>
    </r>
  </si>
  <si>
    <r>
      <rPr>
        <sz val="11"/>
        <rFont val="Calibri"/>
        <family val="1"/>
      </rPr>
      <t>‐0,38</t>
    </r>
  </si>
  <si>
    <r>
      <rPr>
        <b/>
        <sz val="11"/>
        <rFont val="Calibri"/>
        <family val="1"/>
      </rPr>
      <t>‐45</t>
    </r>
  </si>
  <si>
    <r>
      <rPr>
        <sz val="11"/>
        <rFont val="Calibri"/>
        <family val="1"/>
      </rPr>
      <t>+0,38</t>
    </r>
  </si>
  <si>
    <r>
      <rPr>
        <b/>
        <sz val="11"/>
        <rFont val="Calibri"/>
        <family val="1"/>
      </rPr>
      <t>‐44</t>
    </r>
  </si>
  <si>
    <r>
      <rPr>
        <b/>
        <sz val="11"/>
        <rFont val="Calibri"/>
        <family val="1"/>
      </rPr>
      <t>‐43</t>
    </r>
  </si>
  <si>
    <r>
      <rPr>
        <b/>
        <sz val="11"/>
        <rFont val="Calibri"/>
        <family val="1"/>
      </rPr>
      <t>‐42</t>
    </r>
  </si>
  <si>
    <r>
      <rPr>
        <b/>
        <sz val="11"/>
        <rFont val="Calibri"/>
        <family val="1"/>
      </rPr>
      <t>‐41</t>
    </r>
  </si>
  <si>
    <r>
      <rPr>
        <b/>
        <sz val="11"/>
        <rFont val="Calibri"/>
        <family val="1"/>
      </rPr>
      <t>‐40</t>
    </r>
  </si>
  <si>
    <r>
      <rPr>
        <sz val="11"/>
        <rFont val="Calibri"/>
        <family val="1"/>
      </rPr>
      <t>‐0,37</t>
    </r>
  </si>
  <si>
    <r>
      <rPr>
        <sz val="11"/>
        <rFont val="Calibri"/>
        <family val="1"/>
      </rPr>
      <t>+0,36</t>
    </r>
  </si>
  <si>
    <r>
      <rPr>
        <b/>
        <sz val="11"/>
        <rFont val="Calibri"/>
        <family val="1"/>
      </rPr>
      <t>‐39</t>
    </r>
  </si>
  <si>
    <r>
      <rPr>
        <sz val="11"/>
        <rFont val="Calibri"/>
        <family val="1"/>
      </rPr>
      <t>‐0,36</t>
    </r>
  </si>
  <si>
    <r>
      <rPr>
        <b/>
        <sz val="11"/>
        <rFont val="Calibri"/>
        <family val="1"/>
      </rPr>
      <t>‐38</t>
    </r>
  </si>
  <si>
    <r>
      <rPr>
        <b/>
        <sz val="11"/>
        <rFont val="Calibri"/>
        <family val="1"/>
      </rPr>
      <t>‐37</t>
    </r>
  </si>
  <si>
    <r>
      <rPr>
        <b/>
        <sz val="11"/>
        <rFont val="Calibri"/>
        <family val="1"/>
      </rPr>
      <t>‐36</t>
    </r>
  </si>
  <si>
    <r>
      <rPr>
        <b/>
        <sz val="11"/>
        <rFont val="Calibri"/>
        <family val="1"/>
      </rPr>
      <t>‐35</t>
    </r>
  </si>
  <si>
    <r>
      <rPr>
        <sz val="11"/>
        <rFont val="Calibri"/>
        <family val="1"/>
      </rPr>
      <t>‐0,35</t>
    </r>
  </si>
  <si>
    <r>
      <rPr>
        <sz val="11"/>
        <rFont val="Calibri"/>
        <family val="1"/>
      </rPr>
      <t>+0,35</t>
    </r>
  </si>
  <si>
    <r>
      <rPr>
        <b/>
        <sz val="11"/>
        <rFont val="Calibri"/>
        <family val="1"/>
      </rPr>
      <t>‐34</t>
    </r>
  </si>
  <si>
    <r>
      <rPr>
        <b/>
        <sz val="11"/>
        <rFont val="Calibri"/>
        <family val="1"/>
      </rPr>
      <t>‐33</t>
    </r>
  </si>
  <si>
    <r>
      <rPr>
        <b/>
        <sz val="11"/>
        <rFont val="Calibri"/>
        <family val="1"/>
      </rPr>
      <t>‐32</t>
    </r>
  </si>
  <si>
    <r>
      <rPr>
        <b/>
        <sz val="11"/>
        <rFont val="Calibri"/>
        <family val="1"/>
      </rPr>
      <t>‐31</t>
    </r>
  </si>
  <si>
    <r>
      <rPr>
        <sz val="11"/>
        <rFont val="Calibri"/>
        <family val="1"/>
      </rPr>
      <t>‐0,34</t>
    </r>
  </si>
  <si>
    <r>
      <rPr>
        <b/>
        <sz val="11"/>
        <rFont val="Calibri"/>
        <family val="1"/>
      </rPr>
      <t>‐30</t>
    </r>
  </si>
  <si>
    <r>
      <rPr>
        <sz val="11"/>
        <rFont val="Calibri"/>
        <family val="1"/>
      </rPr>
      <t>+0,34</t>
    </r>
  </si>
  <si>
    <r>
      <rPr>
        <b/>
        <sz val="11"/>
        <rFont val="Calibri"/>
        <family val="1"/>
      </rPr>
      <t>‐29</t>
    </r>
  </si>
  <si>
    <r>
      <rPr>
        <sz val="11"/>
        <rFont val="Calibri"/>
        <family val="1"/>
      </rPr>
      <t>‐0,33</t>
    </r>
  </si>
  <si>
    <r>
      <rPr>
        <sz val="11"/>
        <rFont val="Calibri"/>
        <family val="1"/>
      </rPr>
      <t>+0,33</t>
    </r>
  </si>
  <si>
    <r>
      <rPr>
        <b/>
        <sz val="11"/>
        <rFont val="Calibri"/>
        <family val="1"/>
      </rPr>
      <t>‐28</t>
    </r>
  </si>
  <si>
    <r>
      <rPr>
        <b/>
        <sz val="11"/>
        <rFont val="Calibri"/>
        <family val="1"/>
      </rPr>
      <t>‐27</t>
    </r>
  </si>
  <si>
    <r>
      <rPr>
        <b/>
        <sz val="11"/>
        <rFont val="Calibri"/>
        <family val="1"/>
      </rPr>
      <t>‐26</t>
    </r>
  </si>
  <si>
    <r>
      <rPr>
        <b/>
        <sz val="11"/>
        <rFont val="Calibri"/>
        <family val="1"/>
      </rPr>
      <t>‐25</t>
    </r>
  </si>
  <si>
    <r>
      <rPr>
        <sz val="11"/>
        <rFont val="Calibri"/>
        <family val="1"/>
      </rPr>
      <t>‐0,32</t>
    </r>
  </si>
  <si>
    <r>
      <rPr>
        <sz val="11"/>
        <rFont val="Calibri"/>
        <family val="1"/>
      </rPr>
      <t>+0,32</t>
    </r>
  </si>
  <si>
    <r>
      <rPr>
        <b/>
        <sz val="11"/>
        <rFont val="Calibri"/>
        <family val="1"/>
      </rPr>
      <t>‐24</t>
    </r>
  </si>
  <si>
    <r>
      <rPr>
        <b/>
        <sz val="11"/>
        <rFont val="Calibri"/>
        <family val="1"/>
      </rPr>
      <t>‐23</t>
    </r>
  </si>
  <si>
    <r>
      <rPr>
        <b/>
        <sz val="11"/>
        <rFont val="Calibri"/>
        <family val="1"/>
      </rPr>
      <t>‐22</t>
    </r>
  </si>
  <si>
    <r>
      <rPr>
        <b/>
        <sz val="11"/>
        <rFont val="Calibri"/>
        <family val="1"/>
      </rPr>
      <t>‐21</t>
    </r>
  </si>
  <si>
    <r>
      <rPr>
        <sz val="11"/>
        <rFont val="Calibri"/>
        <family val="1"/>
      </rPr>
      <t>‐0,31</t>
    </r>
  </si>
  <si>
    <r>
      <rPr>
        <sz val="11"/>
        <rFont val="Calibri"/>
        <family val="1"/>
      </rPr>
      <t>+0,31</t>
    </r>
  </si>
  <si>
    <r>
      <rPr>
        <b/>
        <sz val="11"/>
        <rFont val="Calibri"/>
        <family val="1"/>
      </rPr>
      <t>‐20</t>
    </r>
  </si>
  <si>
    <r>
      <rPr>
        <b/>
        <sz val="11"/>
        <rFont val="Calibri"/>
        <family val="1"/>
      </rPr>
      <t>‐19</t>
    </r>
  </si>
  <si>
    <r>
      <rPr>
        <sz val="11"/>
        <rFont val="Calibri"/>
        <family val="1"/>
      </rPr>
      <t>‐0,30</t>
    </r>
  </si>
  <si>
    <r>
      <rPr>
        <sz val="11"/>
        <rFont val="Calibri"/>
        <family val="1"/>
      </rPr>
      <t>+0,30</t>
    </r>
  </si>
  <si>
    <r>
      <rPr>
        <b/>
        <sz val="11"/>
        <rFont val="Calibri"/>
        <family val="1"/>
      </rPr>
      <t>‐18</t>
    </r>
  </si>
  <si>
    <r>
      <rPr>
        <b/>
        <sz val="11"/>
        <rFont val="Calibri"/>
        <family val="1"/>
      </rPr>
      <t>‐17</t>
    </r>
  </si>
  <si>
    <r>
      <rPr>
        <b/>
        <sz val="11"/>
        <rFont val="Calibri"/>
        <family val="1"/>
      </rPr>
      <t>‐16</t>
    </r>
  </si>
  <si>
    <r>
      <rPr>
        <sz val="11"/>
        <rFont val="Calibri"/>
        <family val="1"/>
      </rPr>
      <t>‐0,29</t>
    </r>
  </si>
  <si>
    <r>
      <rPr>
        <sz val="11"/>
        <rFont val="Calibri"/>
        <family val="1"/>
      </rPr>
      <t>+0,29</t>
    </r>
  </si>
  <si>
    <r>
      <rPr>
        <b/>
        <sz val="11"/>
        <rFont val="Calibri"/>
        <family val="1"/>
      </rPr>
      <t>‐15</t>
    </r>
  </si>
  <si>
    <r>
      <rPr>
        <b/>
        <sz val="11"/>
        <rFont val="Calibri"/>
        <family val="1"/>
      </rPr>
      <t>‐14</t>
    </r>
  </si>
  <si>
    <r>
      <rPr>
        <b/>
        <sz val="11"/>
        <rFont val="Calibri"/>
        <family val="1"/>
      </rPr>
      <t>‐13</t>
    </r>
  </si>
  <si>
    <r>
      <rPr>
        <b/>
        <sz val="11"/>
        <rFont val="Calibri"/>
        <family val="1"/>
      </rPr>
      <t>‐12</t>
    </r>
  </si>
  <si>
    <r>
      <rPr>
        <sz val="11"/>
        <rFont val="Calibri"/>
        <family val="1"/>
      </rPr>
      <t>‐0,28</t>
    </r>
  </si>
  <si>
    <r>
      <rPr>
        <sz val="11"/>
        <rFont val="Calibri"/>
        <family val="1"/>
      </rPr>
      <t>+0,28</t>
    </r>
  </si>
  <si>
    <r>
      <rPr>
        <b/>
        <sz val="11"/>
        <rFont val="Calibri"/>
        <family val="1"/>
      </rPr>
      <t>‐11</t>
    </r>
  </si>
  <si>
    <r>
      <rPr>
        <b/>
        <sz val="11"/>
        <rFont val="Calibri"/>
        <family val="1"/>
      </rPr>
      <t>‐10</t>
    </r>
  </si>
  <si>
    <r>
      <rPr>
        <sz val="11"/>
        <rFont val="Calibri"/>
        <family val="1"/>
      </rPr>
      <t>+0,27</t>
    </r>
  </si>
  <si>
    <r>
      <rPr>
        <b/>
        <sz val="11"/>
        <rFont val="Calibri"/>
        <family val="1"/>
      </rPr>
      <t>‐9</t>
    </r>
  </si>
  <si>
    <r>
      <rPr>
        <sz val="11"/>
        <rFont val="Calibri"/>
        <family val="1"/>
      </rPr>
      <t>‐0,27</t>
    </r>
  </si>
  <si>
    <r>
      <rPr>
        <b/>
        <sz val="11"/>
        <rFont val="Calibri"/>
        <family val="1"/>
      </rPr>
      <t>‐8</t>
    </r>
  </si>
  <si>
    <r>
      <rPr>
        <sz val="11"/>
        <rFont val="Calibri"/>
        <family val="1"/>
      </rPr>
      <t>‐0,26</t>
    </r>
  </si>
  <si>
    <r>
      <rPr>
        <b/>
        <sz val="11"/>
        <rFont val="Calibri"/>
        <family val="1"/>
      </rPr>
      <t>‐7</t>
    </r>
  </si>
  <si>
    <r>
      <rPr>
        <sz val="11"/>
        <rFont val="Calibri"/>
        <family val="1"/>
      </rPr>
      <t>+0,26</t>
    </r>
  </si>
  <si>
    <r>
      <rPr>
        <b/>
        <sz val="11"/>
        <rFont val="Calibri"/>
        <family val="1"/>
      </rPr>
      <t>‐6</t>
    </r>
  </si>
  <si>
    <r>
      <rPr>
        <b/>
        <sz val="11"/>
        <rFont val="Calibri"/>
        <family val="1"/>
      </rPr>
      <t>‐5</t>
    </r>
  </si>
  <si>
    <r>
      <rPr>
        <b/>
        <sz val="11"/>
        <rFont val="Calibri"/>
        <family val="1"/>
      </rPr>
      <t>‐4</t>
    </r>
  </si>
  <si>
    <r>
      <rPr>
        <sz val="11"/>
        <rFont val="Calibri"/>
        <family val="1"/>
      </rPr>
      <t>‐0,25</t>
    </r>
  </si>
  <si>
    <r>
      <rPr>
        <sz val="11"/>
        <rFont val="Calibri"/>
        <family val="1"/>
      </rPr>
      <t>+0,25</t>
    </r>
  </si>
  <si>
    <r>
      <rPr>
        <b/>
        <sz val="11"/>
        <rFont val="Calibri"/>
        <family val="1"/>
      </rPr>
      <t>‐3</t>
    </r>
  </si>
  <si>
    <r>
      <rPr>
        <b/>
        <sz val="11"/>
        <rFont val="Calibri"/>
        <family val="1"/>
      </rPr>
      <t>‐2</t>
    </r>
  </si>
  <si>
    <r>
      <rPr>
        <b/>
        <sz val="11"/>
        <rFont val="Calibri"/>
        <family val="1"/>
      </rPr>
      <t>‐1</t>
    </r>
  </si>
  <si>
    <r>
      <rPr>
        <sz val="11"/>
        <rFont val="Calibri"/>
        <family val="1"/>
      </rPr>
      <t>‐0,24</t>
    </r>
  </si>
  <si>
    <r>
      <rPr>
        <sz val="11"/>
        <rFont val="Calibri"/>
        <family val="1"/>
      </rPr>
      <t>+0,24</t>
    </r>
  </si>
  <si>
    <r>
      <rPr>
        <sz val="11"/>
        <rFont val="Calibri"/>
        <family val="1"/>
      </rPr>
      <t>‐0,23</t>
    </r>
  </si>
  <si>
    <r>
      <rPr>
        <sz val="11"/>
        <rFont val="Calibri"/>
        <family val="1"/>
      </rPr>
      <t>+0,23</t>
    </r>
  </si>
  <si>
    <r>
      <rPr>
        <sz val="11"/>
        <rFont val="Calibri"/>
        <family val="1"/>
      </rPr>
      <t>‐0,22</t>
    </r>
  </si>
  <si>
    <r>
      <rPr>
        <sz val="11"/>
        <rFont val="Calibri"/>
        <family val="1"/>
      </rPr>
      <t>+0,22</t>
    </r>
  </si>
  <si>
    <r>
      <rPr>
        <sz val="11"/>
        <rFont val="Calibri"/>
        <family val="1"/>
      </rPr>
      <t>‐0,21</t>
    </r>
  </si>
  <si>
    <r>
      <rPr>
        <sz val="11"/>
        <rFont val="Calibri"/>
        <family val="1"/>
      </rPr>
      <t>+0,21</t>
    </r>
  </si>
  <si>
    <r>
      <rPr>
        <sz val="11"/>
        <rFont val="Calibri"/>
        <family val="1"/>
      </rPr>
      <t>‐0,20</t>
    </r>
  </si>
  <si>
    <r>
      <rPr>
        <sz val="11"/>
        <rFont val="Calibri"/>
        <family val="1"/>
      </rPr>
      <t>+0,20</t>
    </r>
  </si>
  <si>
    <r>
      <rPr>
        <sz val="11"/>
        <rFont val="Calibri"/>
        <family val="1"/>
      </rPr>
      <t>‐0,19</t>
    </r>
  </si>
  <si>
    <r>
      <rPr>
        <sz val="11"/>
        <rFont val="Calibri"/>
        <family val="1"/>
      </rPr>
      <t>+0,19</t>
    </r>
  </si>
  <si>
    <r>
      <rPr>
        <sz val="11"/>
        <rFont val="Calibri"/>
        <family val="1"/>
      </rPr>
      <t>‐0,18</t>
    </r>
  </si>
  <si>
    <r>
      <rPr>
        <sz val="11"/>
        <rFont val="Calibri"/>
        <family val="1"/>
      </rPr>
      <t>+0,18</t>
    </r>
  </si>
  <si>
    <r>
      <rPr>
        <sz val="11"/>
        <rFont val="Calibri"/>
        <family val="1"/>
      </rPr>
      <t>‐0,17</t>
    </r>
  </si>
  <si>
    <r>
      <rPr>
        <sz val="11"/>
        <rFont val="Calibri"/>
        <family val="1"/>
      </rPr>
      <t>+0,17</t>
    </r>
  </si>
  <si>
    <r>
      <rPr>
        <sz val="11"/>
        <rFont val="Calibri"/>
        <family val="1"/>
      </rPr>
      <t>‐0,16</t>
    </r>
  </si>
  <si>
    <r>
      <rPr>
        <sz val="11"/>
        <rFont val="Calibri"/>
        <family val="1"/>
      </rPr>
      <t>+0,16</t>
    </r>
  </si>
  <si>
    <r>
      <rPr>
        <sz val="11"/>
        <rFont val="Calibri"/>
        <family val="1"/>
      </rPr>
      <t>‐0,15</t>
    </r>
  </si>
  <si>
    <r>
      <rPr>
        <sz val="11"/>
        <rFont val="Calibri"/>
        <family val="1"/>
      </rPr>
      <t>+0,15</t>
    </r>
  </si>
  <si>
    <r>
      <rPr>
        <sz val="11"/>
        <rFont val="Calibri"/>
        <family val="1"/>
      </rPr>
      <t>‐0,14</t>
    </r>
  </si>
  <si>
    <r>
      <rPr>
        <sz val="11"/>
        <rFont val="Calibri"/>
        <family val="1"/>
      </rPr>
      <t>+0,14</t>
    </r>
  </si>
  <si>
    <r>
      <rPr>
        <sz val="11"/>
        <rFont val="Calibri"/>
        <family val="1"/>
      </rPr>
      <t>+0,37</t>
    </r>
  </si>
  <si>
    <r>
      <rPr>
        <sz val="11"/>
        <rFont val="Calibri"/>
        <family val="1"/>
      </rPr>
      <t>‐0,41</t>
    </r>
  </si>
  <si>
    <r>
      <rPr>
        <sz val="11"/>
        <rFont val="Calibri"/>
        <family val="1"/>
      </rPr>
      <t>‐0,42</t>
    </r>
  </si>
  <si>
    <r>
      <rPr>
        <sz val="11"/>
        <rFont val="Calibri"/>
        <family val="1"/>
      </rPr>
      <t>+0,42</t>
    </r>
  </si>
  <si>
    <r>
      <rPr>
        <sz val="11"/>
        <rFont val="Calibri"/>
        <family val="1"/>
      </rPr>
      <t>‐0,43</t>
    </r>
  </si>
  <si>
    <r>
      <rPr>
        <sz val="11"/>
        <rFont val="Calibri"/>
        <family val="1"/>
      </rPr>
      <t>+0,43</t>
    </r>
  </si>
  <si>
    <r>
      <rPr>
        <sz val="11"/>
        <rFont val="Calibri"/>
        <family val="1"/>
      </rPr>
      <t>‐0,44</t>
    </r>
  </si>
  <si>
    <r>
      <rPr>
        <sz val="11"/>
        <rFont val="Calibri"/>
        <family val="1"/>
      </rPr>
      <t>+0,44</t>
    </r>
  </si>
  <si>
    <r>
      <rPr>
        <sz val="11"/>
        <rFont val="Calibri"/>
        <family val="1"/>
      </rPr>
      <t>‐0,45</t>
    </r>
  </si>
  <si>
    <r>
      <rPr>
        <sz val="11"/>
        <rFont val="Calibri"/>
        <family val="1"/>
      </rPr>
      <t>+0,45</t>
    </r>
  </si>
  <si>
    <r>
      <rPr>
        <sz val="11"/>
        <rFont val="Calibri"/>
        <family val="1"/>
      </rPr>
      <t>+0,46</t>
    </r>
  </si>
  <si>
    <r>
      <rPr>
        <sz val="11"/>
        <rFont val="Calibri"/>
        <family val="1"/>
      </rPr>
      <t>‐0,46</t>
    </r>
  </si>
  <si>
    <r>
      <rPr>
        <sz val="11"/>
        <rFont val="Calibri"/>
        <family val="1"/>
      </rPr>
      <t>‐0,47</t>
    </r>
  </si>
  <si>
    <r>
      <rPr>
        <sz val="11"/>
        <rFont val="Calibri"/>
        <family val="1"/>
      </rPr>
      <t>+0,47</t>
    </r>
  </si>
  <si>
    <r>
      <rPr>
        <sz val="11"/>
        <rFont val="Calibri"/>
        <family val="1"/>
      </rPr>
      <t>‐0,48</t>
    </r>
  </si>
  <si>
    <r>
      <rPr>
        <sz val="11"/>
        <rFont val="Calibri"/>
        <family val="1"/>
      </rPr>
      <t>+0,48</t>
    </r>
  </si>
  <si>
    <r>
      <rPr>
        <sz val="11"/>
        <rFont val="Calibri"/>
        <family val="1"/>
      </rPr>
      <t>+0,49</t>
    </r>
  </si>
  <si>
    <r>
      <rPr>
        <sz val="11"/>
        <rFont val="Calibri"/>
        <family val="1"/>
      </rPr>
      <t>‐0,49</t>
    </r>
  </si>
  <si>
    <r>
      <rPr>
        <sz val="11"/>
        <rFont val="Calibri"/>
        <family val="1"/>
      </rPr>
      <t>‐0,50</t>
    </r>
  </si>
  <si>
    <r>
      <rPr>
        <sz val="11"/>
        <rFont val="Calibri"/>
        <family val="1"/>
      </rPr>
      <t>+0,50</t>
    </r>
  </si>
  <si>
    <r>
      <rPr>
        <sz val="11"/>
        <rFont val="Calibri"/>
        <family val="1"/>
      </rPr>
      <t>+0,51</t>
    </r>
  </si>
  <si>
    <r>
      <rPr>
        <sz val="11"/>
        <rFont val="Calibri"/>
        <family val="1"/>
      </rPr>
      <t>‐0,51</t>
    </r>
  </si>
  <si>
    <r>
      <rPr>
        <sz val="11"/>
        <rFont val="Calibri"/>
        <family val="1"/>
      </rPr>
      <t>‐0,52</t>
    </r>
  </si>
  <si>
    <r>
      <rPr>
        <sz val="11"/>
        <rFont val="Calibri"/>
        <family val="1"/>
      </rPr>
      <t>+0,52</t>
    </r>
  </si>
  <si>
    <r>
      <rPr>
        <sz val="11"/>
        <rFont val="Calibri"/>
        <family val="1"/>
      </rPr>
      <t>‐0,53</t>
    </r>
  </si>
  <si>
    <r>
      <rPr>
        <sz val="11"/>
        <rFont val="Calibri"/>
        <family val="1"/>
      </rPr>
      <t>+0,53</t>
    </r>
  </si>
  <si>
    <r>
      <rPr>
        <sz val="11"/>
        <rFont val="Calibri"/>
        <family val="1"/>
      </rPr>
      <t>‐0,54</t>
    </r>
  </si>
  <si>
    <r>
      <rPr>
        <sz val="11"/>
        <rFont val="Calibri"/>
        <family val="1"/>
      </rPr>
      <t>+0,54</t>
    </r>
  </si>
  <si>
    <r>
      <rPr>
        <sz val="11"/>
        <rFont val="Calibri"/>
        <family val="1"/>
      </rPr>
      <t>‐0,55</t>
    </r>
  </si>
  <si>
    <r>
      <rPr>
        <sz val="11"/>
        <rFont val="Calibri"/>
        <family val="1"/>
      </rPr>
      <t>+0,55</t>
    </r>
  </si>
  <si>
    <r>
      <rPr>
        <sz val="11"/>
        <rFont val="Calibri"/>
        <family val="1"/>
      </rPr>
      <t>‐0,56</t>
    </r>
  </si>
  <si>
    <r>
      <rPr>
        <sz val="11"/>
        <rFont val="Calibri"/>
        <family val="1"/>
      </rPr>
      <t>+0,56</t>
    </r>
  </si>
  <si>
    <r>
      <rPr>
        <sz val="11"/>
        <rFont val="Calibri"/>
        <family val="1"/>
      </rPr>
      <t>‐0,57</t>
    </r>
  </si>
  <si>
    <r>
      <rPr>
        <sz val="11"/>
        <rFont val="Calibri"/>
        <family val="1"/>
      </rPr>
      <t>+0,57</t>
    </r>
  </si>
  <si>
    <r>
      <rPr>
        <sz val="11"/>
        <rFont val="Calibri"/>
        <family val="1"/>
      </rPr>
      <t>‐0,58</t>
    </r>
  </si>
  <si>
    <r>
      <rPr>
        <sz val="11"/>
        <rFont val="Calibri"/>
        <family val="1"/>
      </rPr>
      <t>+0,58</t>
    </r>
  </si>
  <si>
    <r>
      <rPr>
        <sz val="11"/>
        <rFont val="Calibri"/>
        <family val="1"/>
      </rPr>
      <t>‐0,59</t>
    </r>
  </si>
  <si>
    <r>
      <rPr>
        <sz val="11"/>
        <rFont val="Calibri"/>
        <family val="1"/>
      </rPr>
      <t>+0,59</t>
    </r>
  </si>
  <si>
    <r>
      <rPr>
        <sz val="11"/>
        <rFont val="Calibri"/>
        <family val="1"/>
      </rPr>
      <t>‐0,60</t>
    </r>
  </si>
  <si>
    <r>
      <rPr>
        <sz val="11"/>
        <rFont val="Calibri"/>
        <family val="1"/>
      </rPr>
      <t>+0,60</t>
    </r>
  </si>
  <si>
    <r>
      <rPr>
        <sz val="11"/>
        <rFont val="Calibri"/>
        <family val="1"/>
      </rPr>
      <t>+0,61</t>
    </r>
  </si>
  <si>
    <r>
      <rPr>
        <sz val="11"/>
        <rFont val="Calibri"/>
        <family val="1"/>
      </rPr>
      <t>‐0,61</t>
    </r>
  </si>
  <si>
    <r>
      <rPr>
        <sz val="11"/>
        <rFont val="Calibri"/>
        <family val="1"/>
      </rPr>
      <t>+0,62</t>
    </r>
  </si>
  <si>
    <r>
      <rPr>
        <sz val="11"/>
        <rFont val="Calibri"/>
        <family val="1"/>
      </rPr>
      <t>‐0,62</t>
    </r>
  </si>
  <si>
    <r>
      <rPr>
        <sz val="11"/>
        <rFont val="Calibri"/>
        <family val="1"/>
      </rPr>
      <t>‐0,63</t>
    </r>
  </si>
  <si>
    <r>
      <rPr>
        <sz val="11"/>
        <rFont val="Calibri"/>
        <family val="1"/>
      </rPr>
      <t>+0,63</t>
    </r>
  </si>
  <si>
    <r>
      <rPr>
        <sz val="11"/>
        <rFont val="Calibri"/>
        <family val="1"/>
      </rPr>
      <t>‐0,64</t>
    </r>
  </si>
  <si>
    <r>
      <rPr>
        <sz val="11"/>
        <rFont val="Calibri"/>
        <family val="1"/>
      </rPr>
      <t>+0,64</t>
    </r>
  </si>
  <si>
    <r>
      <rPr>
        <sz val="11"/>
        <rFont val="Calibri"/>
        <family val="1"/>
      </rPr>
      <t>‐0,65</t>
    </r>
  </si>
  <si>
    <r>
      <rPr>
        <sz val="11"/>
        <rFont val="Calibri"/>
        <family val="1"/>
      </rPr>
      <t>+0,65</t>
    </r>
  </si>
  <si>
    <r>
      <rPr>
        <sz val="11"/>
        <rFont val="Calibri"/>
        <family val="1"/>
      </rPr>
      <t>‐0,66</t>
    </r>
  </si>
  <si>
    <r>
      <rPr>
        <sz val="11"/>
        <rFont val="Calibri"/>
        <family val="1"/>
      </rPr>
      <t>+0,66</t>
    </r>
  </si>
  <si>
    <r>
      <rPr>
        <sz val="11"/>
        <rFont val="Calibri"/>
        <family val="1"/>
      </rPr>
      <t>‐0,67</t>
    </r>
  </si>
  <si>
    <r>
      <rPr>
        <sz val="11"/>
        <rFont val="Calibri"/>
        <family val="1"/>
      </rPr>
      <t>+0,67</t>
    </r>
  </si>
  <si>
    <r>
      <rPr>
        <sz val="11"/>
        <rFont val="Calibri"/>
        <family val="1"/>
      </rPr>
      <t>+0,68</t>
    </r>
  </si>
  <si>
    <r>
      <rPr>
        <sz val="11"/>
        <rFont val="Calibri"/>
        <family val="1"/>
      </rPr>
      <t>‐0,68</t>
    </r>
  </si>
  <si>
    <r>
      <rPr>
        <sz val="11"/>
        <rFont val="Calibri"/>
        <family val="1"/>
      </rPr>
      <t>+0,69</t>
    </r>
  </si>
  <si>
    <r>
      <rPr>
        <sz val="11"/>
        <rFont val="Calibri"/>
        <family val="1"/>
      </rPr>
      <t>‐0,69</t>
    </r>
  </si>
  <si>
    <r>
      <rPr>
        <sz val="11"/>
        <rFont val="Calibri"/>
        <family val="1"/>
      </rPr>
      <t>+0,70</t>
    </r>
  </si>
  <si>
    <r>
      <rPr>
        <sz val="11"/>
        <rFont val="Calibri"/>
        <family val="1"/>
      </rPr>
      <t>‐0,70</t>
    </r>
  </si>
  <si>
    <r>
      <rPr>
        <sz val="11"/>
        <rFont val="Calibri"/>
        <family val="1"/>
      </rPr>
      <t>‐0,71</t>
    </r>
  </si>
  <si>
    <r>
      <rPr>
        <sz val="11"/>
        <rFont val="Calibri"/>
        <family val="1"/>
      </rPr>
      <t>+0,71</t>
    </r>
  </si>
  <si>
    <r>
      <rPr>
        <sz val="11"/>
        <rFont val="Calibri"/>
        <family val="1"/>
      </rPr>
      <t>‐0,72</t>
    </r>
  </si>
  <si>
    <r>
      <rPr>
        <sz val="11"/>
        <rFont val="Calibri"/>
        <family val="1"/>
      </rPr>
      <t>+0,72</t>
    </r>
  </si>
  <si>
    <r>
      <rPr>
        <sz val="11"/>
        <rFont val="Calibri"/>
        <family val="1"/>
      </rPr>
      <t>‐0,73</t>
    </r>
  </si>
  <si>
    <r>
      <rPr>
        <sz val="11"/>
        <rFont val="Calibri"/>
        <family val="1"/>
      </rPr>
      <t>+0,73</t>
    </r>
  </si>
  <si>
    <r>
      <rPr>
        <sz val="11"/>
        <rFont val="Calibri"/>
        <family val="1"/>
      </rPr>
      <t>‐0,74</t>
    </r>
  </si>
  <si>
    <r>
      <rPr>
        <sz val="11"/>
        <rFont val="Calibri"/>
        <family val="1"/>
      </rPr>
      <t>+0,74</t>
    </r>
  </si>
  <si>
    <r>
      <rPr>
        <sz val="11"/>
        <rFont val="Calibri"/>
        <family val="1"/>
      </rPr>
      <t>‐0,75</t>
    </r>
  </si>
  <si>
    <r>
      <rPr>
        <sz val="11"/>
        <rFont val="Calibri"/>
        <family val="1"/>
      </rPr>
      <t>+0,75</t>
    </r>
  </si>
  <si>
    <r>
      <rPr>
        <sz val="11"/>
        <rFont val="Calibri"/>
        <family val="1"/>
      </rPr>
      <t>‐0,76</t>
    </r>
  </si>
  <si>
    <r>
      <rPr>
        <sz val="11"/>
        <rFont val="Calibri"/>
        <family val="1"/>
      </rPr>
      <t>+0,76</t>
    </r>
  </si>
  <si>
    <r>
      <rPr>
        <sz val="11"/>
        <rFont val="Calibri"/>
        <family val="1"/>
      </rPr>
      <t>‐0,77</t>
    </r>
  </si>
  <si>
    <r>
      <rPr>
        <sz val="11"/>
        <rFont val="Calibri"/>
        <family val="1"/>
      </rPr>
      <t>+0,77</t>
    </r>
  </si>
  <si>
    <r>
      <rPr>
        <sz val="11"/>
        <rFont val="Calibri"/>
        <family val="1"/>
      </rPr>
      <t>‐0,78</t>
    </r>
  </si>
  <si>
    <r>
      <rPr>
        <sz val="11"/>
        <rFont val="Calibri"/>
        <family val="1"/>
      </rPr>
      <t>+0,78</t>
    </r>
  </si>
  <si>
    <r>
      <rPr>
        <sz val="11"/>
        <rFont val="Calibri"/>
        <family val="1"/>
      </rPr>
      <t>+0,79</t>
    </r>
  </si>
  <si>
    <r>
      <rPr>
        <sz val="11"/>
        <rFont val="Calibri"/>
        <family val="1"/>
      </rPr>
      <t>‐0,79</t>
    </r>
  </si>
  <si>
    <r>
      <rPr>
        <sz val="11"/>
        <rFont val="Calibri"/>
        <family val="1"/>
      </rPr>
      <t>+0,80</t>
    </r>
  </si>
  <si>
    <r>
      <rPr>
        <sz val="11"/>
        <rFont val="Calibri"/>
        <family val="1"/>
      </rPr>
      <t>‐0,80</t>
    </r>
  </si>
  <si>
    <r>
      <rPr>
        <sz val="11"/>
        <rFont val="Calibri"/>
        <family val="1"/>
      </rPr>
      <t>+0,81</t>
    </r>
  </si>
  <si>
    <r>
      <rPr>
        <sz val="11"/>
        <rFont val="Calibri"/>
        <family val="1"/>
      </rPr>
      <t>‐0,81</t>
    </r>
  </si>
  <si>
    <r>
      <rPr>
        <sz val="11"/>
        <rFont val="Calibri"/>
        <family val="1"/>
      </rPr>
      <t>+0,82</t>
    </r>
  </si>
  <si>
    <r>
      <rPr>
        <sz val="11"/>
        <rFont val="Calibri"/>
        <family val="1"/>
      </rPr>
      <t>‐0,82</t>
    </r>
  </si>
  <si>
    <r>
      <rPr>
        <sz val="11"/>
        <rFont val="Calibri"/>
        <family val="1"/>
      </rPr>
      <t>‐0,83</t>
    </r>
  </si>
  <si>
    <r>
      <rPr>
        <sz val="11"/>
        <rFont val="Calibri"/>
        <family val="1"/>
      </rPr>
      <t>+0,83</t>
    </r>
  </si>
  <si>
    <r>
      <rPr>
        <sz val="11"/>
        <rFont val="Calibri"/>
        <family val="1"/>
      </rPr>
      <t>+0,84</t>
    </r>
  </si>
  <si>
    <r>
      <rPr>
        <sz val="11"/>
        <rFont val="Calibri"/>
        <family val="1"/>
      </rPr>
      <t>‐0,84</t>
    </r>
  </si>
  <si>
    <r>
      <rPr>
        <sz val="11"/>
        <rFont val="Calibri"/>
        <family val="1"/>
      </rPr>
      <t>+0,85</t>
    </r>
  </si>
  <si>
    <r>
      <rPr>
        <sz val="11"/>
        <rFont val="Calibri"/>
        <family val="1"/>
      </rPr>
      <t>‐0,85</t>
    </r>
  </si>
  <si>
    <r>
      <rPr>
        <sz val="11"/>
        <rFont val="Calibri"/>
        <family val="1"/>
      </rPr>
      <t>+0,86</t>
    </r>
  </si>
  <si>
    <r>
      <rPr>
        <sz val="11"/>
        <rFont val="Calibri"/>
        <family val="1"/>
      </rPr>
      <t>‐0,86</t>
    </r>
  </si>
  <si>
    <r>
      <rPr>
        <sz val="11"/>
        <rFont val="Calibri"/>
        <family val="1"/>
      </rPr>
      <t>+0,87</t>
    </r>
  </si>
  <si>
    <r>
      <rPr>
        <sz val="11"/>
        <rFont val="Calibri"/>
        <family val="1"/>
      </rPr>
      <t>‐0,87</t>
    </r>
  </si>
  <si>
    <r>
      <rPr>
        <sz val="11"/>
        <rFont val="Calibri"/>
        <family val="1"/>
      </rPr>
      <t>+0,88</t>
    </r>
  </si>
  <si>
    <r>
      <rPr>
        <sz val="11"/>
        <rFont val="Calibri"/>
        <family val="1"/>
      </rPr>
      <t>‐0,88</t>
    </r>
  </si>
  <si>
    <r>
      <rPr>
        <sz val="11"/>
        <rFont val="Calibri"/>
        <family val="1"/>
      </rPr>
      <t>+0,89</t>
    </r>
  </si>
  <si>
    <r>
      <rPr>
        <sz val="11"/>
        <rFont val="Calibri"/>
        <family val="1"/>
      </rPr>
      <t>‐0,89</t>
    </r>
  </si>
  <si>
    <r>
      <rPr>
        <sz val="11"/>
        <rFont val="Calibri"/>
        <family val="1"/>
      </rPr>
      <t>+0,90</t>
    </r>
  </si>
  <si>
    <r>
      <rPr>
        <sz val="11"/>
        <rFont val="Calibri"/>
        <family val="1"/>
      </rPr>
      <t>‐0,90</t>
    </r>
  </si>
  <si>
    <r>
      <rPr>
        <sz val="11"/>
        <rFont val="Calibri"/>
        <family val="1"/>
      </rPr>
      <t>‐0,91</t>
    </r>
  </si>
  <si>
    <r>
      <rPr>
        <sz val="11"/>
        <rFont val="Calibri"/>
        <family val="1"/>
      </rPr>
      <t>+0,91</t>
    </r>
  </si>
  <si>
    <r>
      <rPr>
        <sz val="11"/>
        <rFont val="Calibri"/>
        <family val="1"/>
      </rPr>
      <t>+0,92</t>
    </r>
  </si>
  <si>
    <r>
      <rPr>
        <sz val="11"/>
        <rFont val="Calibri"/>
        <family val="1"/>
      </rPr>
      <t>‐0,92</t>
    </r>
  </si>
  <si>
    <r>
      <rPr>
        <sz val="11"/>
        <rFont val="Calibri"/>
        <family val="1"/>
      </rPr>
      <t>+0,93</t>
    </r>
  </si>
  <si>
    <r>
      <rPr>
        <sz val="11"/>
        <rFont val="Calibri"/>
        <family val="1"/>
      </rPr>
      <t>‐0,93</t>
    </r>
  </si>
  <si>
    <r>
      <rPr>
        <sz val="11"/>
        <rFont val="Calibri"/>
        <family val="1"/>
      </rPr>
      <t>+0,94</t>
    </r>
  </si>
  <si>
    <r>
      <rPr>
        <sz val="11"/>
        <rFont val="Calibri"/>
        <family val="1"/>
      </rPr>
      <t>‐0,94</t>
    </r>
  </si>
  <si>
    <r>
      <rPr>
        <sz val="11"/>
        <rFont val="Calibri"/>
        <family val="1"/>
      </rPr>
      <t>+0,95</t>
    </r>
  </si>
  <si>
    <r>
      <rPr>
        <sz val="11"/>
        <rFont val="Calibri"/>
        <family val="1"/>
      </rPr>
      <t>‐0,95</t>
    </r>
  </si>
  <si>
    <r>
      <rPr>
        <sz val="11"/>
        <rFont val="Calibri"/>
        <family val="1"/>
      </rPr>
      <t>+0,96</t>
    </r>
  </si>
  <si>
    <r>
      <rPr>
        <sz val="11"/>
        <rFont val="Calibri"/>
        <family val="1"/>
      </rPr>
      <t>‐0,96</t>
    </r>
  </si>
  <si>
    <r>
      <rPr>
        <sz val="11"/>
        <rFont val="Calibri"/>
        <family val="1"/>
      </rPr>
      <t>+0,97</t>
    </r>
  </si>
  <si>
    <r>
      <rPr>
        <sz val="11"/>
        <rFont val="Calibri"/>
        <family val="1"/>
      </rPr>
      <t>‐0,97</t>
    </r>
  </si>
  <si>
    <r>
      <rPr>
        <sz val="11"/>
        <rFont val="Calibri"/>
        <family val="1"/>
      </rPr>
      <t>+0,98</t>
    </r>
  </si>
  <si>
    <r>
      <rPr>
        <sz val="11"/>
        <rFont val="Calibri"/>
        <family val="1"/>
      </rPr>
      <t>‐0,98</t>
    </r>
  </si>
  <si>
    <r>
      <rPr>
        <sz val="11"/>
        <rFont val="Calibri"/>
        <family val="1"/>
      </rPr>
      <t>+0,99</t>
    </r>
  </si>
  <si>
    <r>
      <rPr>
        <sz val="11"/>
        <rFont val="Calibri"/>
        <family val="1"/>
      </rPr>
      <t>‐0,99</t>
    </r>
  </si>
  <si>
    <r>
      <rPr>
        <sz val="11"/>
        <rFont val="Calibri"/>
        <family val="1"/>
      </rPr>
      <t>+1,00</t>
    </r>
  </si>
  <si>
    <r>
      <rPr>
        <sz val="11"/>
        <rFont val="Calibri"/>
        <family val="1"/>
      </rPr>
      <t>‐1,00</t>
    </r>
  </si>
  <si>
    <r>
      <rPr>
        <sz val="11"/>
        <rFont val="Calibri"/>
        <family val="1"/>
      </rPr>
      <t>+1,01</t>
    </r>
  </si>
  <si>
    <r>
      <rPr>
        <sz val="11"/>
        <rFont val="Calibri"/>
        <family val="1"/>
      </rPr>
      <t>‐1,01</t>
    </r>
  </si>
  <si>
    <r>
      <rPr>
        <sz val="11"/>
        <rFont val="Calibri"/>
        <family val="1"/>
      </rPr>
      <t>+1,02</t>
    </r>
  </si>
  <si>
    <r>
      <rPr>
        <sz val="11"/>
        <rFont val="Calibri"/>
        <family val="1"/>
      </rPr>
      <t>‐1,02</t>
    </r>
  </si>
  <si>
    <r>
      <rPr>
        <sz val="11"/>
        <rFont val="Calibri"/>
        <family val="1"/>
      </rPr>
      <t>+1,03</t>
    </r>
  </si>
  <si>
    <r>
      <rPr>
        <sz val="11"/>
        <rFont val="Calibri"/>
        <family val="1"/>
      </rPr>
      <t>‐1,03</t>
    </r>
  </si>
  <si>
    <r>
      <rPr>
        <sz val="11"/>
        <rFont val="Calibri"/>
        <family val="1"/>
      </rPr>
      <t>+1,04</t>
    </r>
  </si>
  <si>
    <r>
      <rPr>
        <sz val="11"/>
        <rFont val="Calibri"/>
        <family val="1"/>
      </rPr>
      <t>‐1,04</t>
    </r>
  </si>
  <si>
    <r>
      <rPr>
        <sz val="11"/>
        <rFont val="Calibri"/>
        <family val="1"/>
      </rPr>
      <t>+1,05</t>
    </r>
  </si>
  <si>
    <r>
      <rPr>
        <sz val="11"/>
        <rFont val="Calibri"/>
        <family val="1"/>
      </rPr>
      <t>‐1,05</t>
    </r>
  </si>
  <si>
    <r>
      <rPr>
        <sz val="11"/>
        <rFont val="Calibri"/>
        <family val="1"/>
      </rPr>
      <t>+1,06</t>
    </r>
  </si>
  <si>
    <r>
      <rPr>
        <sz val="11"/>
        <rFont val="Calibri"/>
        <family val="1"/>
      </rPr>
      <t>‐1,06</t>
    </r>
  </si>
  <si>
    <r>
      <rPr>
        <sz val="11"/>
        <rFont val="Calibri"/>
        <family val="1"/>
      </rPr>
      <t>+1,07</t>
    </r>
  </si>
  <si>
    <r>
      <rPr>
        <sz val="11"/>
        <rFont val="Calibri"/>
        <family val="1"/>
      </rPr>
      <t>‐1,07</t>
    </r>
  </si>
  <si>
    <r>
      <rPr>
        <sz val="11"/>
        <rFont val="Calibri"/>
        <family val="1"/>
      </rPr>
      <t>+1,08</t>
    </r>
  </si>
  <si>
    <r>
      <rPr>
        <sz val="11"/>
        <rFont val="Calibri"/>
        <family val="1"/>
      </rPr>
      <t>‐1,08</t>
    </r>
  </si>
  <si>
    <r>
      <rPr>
        <sz val="11"/>
        <rFont val="Calibri"/>
        <family val="1"/>
      </rPr>
      <t>+1,09</t>
    </r>
  </si>
  <si>
    <r>
      <rPr>
        <sz val="11"/>
        <rFont val="Calibri"/>
        <family val="1"/>
      </rPr>
      <t>‐1,09</t>
    </r>
  </si>
  <si>
    <r>
      <rPr>
        <sz val="11"/>
        <rFont val="Calibri"/>
        <family val="1"/>
      </rPr>
      <t>+1,10</t>
    </r>
  </si>
  <si>
    <t>Temp, °C</t>
  </si>
  <si>
    <t>Rmax, (k ohm)</t>
  </si>
  <si>
    <t>Rst, (k ohm)</t>
  </si>
  <si>
    <t>Rmin, (k ohm)</t>
  </si>
  <si>
    <t>Resistencia Aprox (k,ohm)</t>
  </si>
  <si>
    <t>R(T)=−0.080T+7.89</t>
  </si>
  <si>
    <t>R(T)=−0.258T+16.38</t>
  </si>
  <si>
    <t>20-48</t>
  </si>
  <si>
    <t>49-80</t>
  </si>
  <si>
    <t>voltaje Puente</t>
  </si>
  <si>
    <t>con amplificacion (x1.5)</t>
  </si>
  <si>
    <t>valor ADC (10 bits)</t>
  </si>
  <si>
    <t>valor CAN (8 bits)</t>
  </si>
  <si>
    <t>modo común</t>
  </si>
  <si>
    <t>Rst, (k ohm) copia para la formula</t>
  </si>
  <si>
    <t>voltaje divisor "equilibrador"</t>
  </si>
  <si>
    <t>voltaje puente con NTC</t>
  </si>
  <si>
    <t>Puente wheatstone</t>
  </si>
  <si>
    <t>divisor resistivo unico</t>
  </si>
  <si>
    <t>valor CAN ( 8bits)</t>
  </si>
  <si>
    <t>el de 5</t>
  </si>
  <si>
    <t>valos comon mode</t>
  </si>
  <si>
    <t>output voltage</t>
  </si>
  <si>
    <t>supongo que el maximo q me dara sera 3.2 con VCM= 1.65</t>
  </si>
  <si>
    <t>m sup</t>
  </si>
  <si>
    <t>m inf</t>
  </si>
  <si>
    <t>formula recta sup</t>
  </si>
  <si>
    <t>Common mode Voltage</t>
  </si>
  <si>
    <t>valor mximo del output del INA con ese modo comun</t>
  </si>
  <si>
    <t>FORMULAS RESISTENCIAS APROX</t>
  </si>
  <si>
    <t>common mode voltage=-0,516(Output Vol)+3.3</t>
  </si>
  <si>
    <t>common mode voltage =0,516(Output Vol)</t>
  </si>
  <si>
    <t>todo lo que esté en el area del triangulo funciona</t>
  </si>
  <si>
    <t>Output Voltage maximo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</si>
</sst>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8" x14ac:knownFonts="1">
    <font>
      <sz val="10"/>
      <color rgb="FF000000"/>
      <name val="Times New Roman"/>
      <charset val="204"/>
    </font>
    <font>
      <sz val="11"/>
      <name val="Calibri"/>
    </font>
    <font>
      <b/>
      <sz val="11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1"/>
    </font>
    <font>
      <b/>
      <sz val="11"/>
      <name val="Calibri"/>
      <family val="1"/>
    </font>
    <font>
      <b/>
      <sz val="10"/>
      <color rgb="FF000000"/>
      <name val="Times New Roman"/>
      <charset val="204"/>
    </font>
    <font>
      <b/>
      <sz val="10"/>
      <color rgb="FF000000"/>
      <name val="Times New Roman"/>
      <family val="1"/>
    </font>
    <font>
      <b/>
      <sz val="11"/>
      <name val="Calibri"/>
      <family val="2"/>
    </font>
    <font>
      <sz val="11"/>
      <name val="Calibri"/>
      <family val="2"/>
    </font>
    <font>
      <sz val="10"/>
      <name val="Times New Roman"/>
      <family val="1"/>
    </font>
    <font>
      <sz val="8"/>
      <name val="Times New Roman"/>
      <family val="1"/>
    </font>
    <font>
      <sz val="10"/>
      <color rgb="FF000000"/>
      <name val="Times New Roman"/>
      <family val="1"/>
    </font>
    <font>
      <sz val="14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b/>
      <sz val="18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shrinkToFit="1"/>
    </xf>
    <xf numFmtId="2" fontId="3" fillId="0" borderId="1" xfId="0" applyNumberFormat="1" applyFont="1" applyBorder="1" applyAlignment="1">
      <alignment horizontal="left" vertical="top" shrinkToFit="1"/>
    </xf>
    <xf numFmtId="1" fontId="4" fillId="0" borderId="1" xfId="0" applyNumberFormat="1" applyFont="1" applyBorder="1" applyAlignment="1">
      <alignment horizontal="left" vertical="top" shrinkToFit="1"/>
    </xf>
    <xf numFmtId="165" fontId="3" fillId="0" borderId="1" xfId="0" applyNumberFormat="1" applyFont="1" applyBorder="1" applyAlignment="1">
      <alignment horizontal="left" vertical="top" shrinkToFit="1"/>
    </xf>
    <xf numFmtId="166" fontId="3" fillId="0" borderId="1" xfId="0" applyNumberFormat="1" applyFont="1" applyBorder="1" applyAlignment="1">
      <alignment horizontal="left" vertical="top" shrinkToFi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2" fontId="0" fillId="0" borderId="0" xfId="0" applyNumberFormat="1" applyAlignment="1">
      <alignment horizontal="left" vertical="center" wrapText="1"/>
    </xf>
    <xf numFmtId="0" fontId="0" fillId="2" borderId="0" xfId="0" applyFill="1" applyAlignment="1">
      <alignment horizontal="left" vertical="top"/>
    </xf>
    <xf numFmtId="0" fontId="8" fillId="0" borderId="0" xfId="0" applyFont="1" applyAlignment="1">
      <alignment horizontal="left" vertical="center"/>
    </xf>
    <xf numFmtId="1" fontId="4" fillId="2" borderId="1" xfId="0" applyNumberFormat="1" applyFont="1" applyFill="1" applyBorder="1" applyAlignment="1">
      <alignment horizontal="left" vertical="top" shrinkToFit="1"/>
    </xf>
    <xf numFmtId="165" fontId="3" fillId="2" borderId="1" xfId="0" applyNumberFormat="1" applyFont="1" applyFill="1" applyBorder="1" applyAlignment="1">
      <alignment horizontal="left" vertical="top" shrinkToFit="1"/>
    </xf>
    <xf numFmtId="1" fontId="0" fillId="0" borderId="0" xfId="0" applyNumberFormat="1" applyAlignment="1">
      <alignment horizontal="left" vertical="top"/>
    </xf>
    <xf numFmtId="1" fontId="0" fillId="2" borderId="0" xfId="0" applyNumberFormat="1" applyFill="1" applyAlignment="1">
      <alignment horizontal="left" vertical="top"/>
    </xf>
    <xf numFmtId="0" fontId="0" fillId="6" borderId="0" xfId="0" applyFill="1" applyAlignment="1">
      <alignment horizontal="left" vertical="top"/>
    </xf>
    <xf numFmtId="1" fontId="0" fillId="6" borderId="0" xfId="0" applyNumberFormat="1" applyFill="1" applyAlignment="1">
      <alignment horizontal="left" vertical="top"/>
    </xf>
    <xf numFmtId="1" fontId="4" fillId="5" borderId="1" xfId="0" applyNumberFormat="1" applyFont="1" applyFill="1" applyBorder="1" applyAlignment="1">
      <alignment horizontal="left" vertical="top" shrinkToFit="1"/>
    </xf>
    <xf numFmtId="165" fontId="3" fillId="5" borderId="1" xfId="0" applyNumberFormat="1" applyFont="1" applyFill="1" applyBorder="1" applyAlignment="1">
      <alignment horizontal="left" vertical="top" shrinkToFit="1"/>
    </xf>
    <xf numFmtId="2" fontId="0" fillId="5" borderId="0" xfId="0" applyNumberFormat="1" applyFill="1" applyAlignment="1">
      <alignment horizontal="left" vertical="center" wrapText="1"/>
    </xf>
    <xf numFmtId="0" fontId="0" fillId="5" borderId="0" xfId="0" applyFill="1" applyAlignment="1">
      <alignment horizontal="left" vertical="top"/>
    </xf>
    <xf numFmtId="1" fontId="0" fillId="5" borderId="0" xfId="0" applyNumberFormat="1" applyFill="1" applyAlignment="1">
      <alignment horizontal="left" vertical="top"/>
    </xf>
    <xf numFmtId="0" fontId="8" fillId="0" borderId="0" xfId="0" applyFont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2" fontId="3" fillId="0" borderId="0" xfId="0" applyNumberFormat="1" applyFont="1" applyAlignment="1">
      <alignment horizontal="left" vertical="top" shrinkToFit="1"/>
    </xf>
    <xf numFmtId="165" fontId="3" fillId="0" borderId="0" xfId="0" applyNumberFormat="1" applyFont="1" applyAlignment="1">
      <alignment horizontal="left" vertical="top" shrinkToFit="1"/>
    </xf>
    <xf numFmtId="0" fontId="0" fillId="8" borderId="0" xfId="0" applyFill="1" applyAlignment="1">
      <alignment horizontal="center" vertical="top"/>
    </xf>
    <xf numFmtId="0" fontId="8" fillId="0" borderId="0" xfId="0" applyFont="1" applyAlignment="1">
      <alignment horizontal="left" vertical="top" wrapText="1"/>
    </xf>
    <xf numFmtId="1" fontId="4" fillId="0" borderId="0" xfId="0" applyNumberFormat="1" applyFont="1" applyAlignment="1">
      <alignment horizontal="left" vertical="top" shrinkToFit="1"/>
    </xf>
    <xf numFmtId="0" fontId="1" fillId="0" borderId="0" xfId="0" applyFont="1" applyAlignment="1">
      <alignment horizontal="left" vertical="top" wrapText="1"/>
    </xf>
    <xf numFmtId="0" fontId="7" fillId="6" borderId="0" xfId="0" applyFont="1" applyFill="1" applyAlignment="1">
      <alignment horizontal="center" vertical="center" wrapText="1"/>
    </xf>
    <xf numFmtId="1" fontId="0" fillId="6" borderId="0" xfId="0" applyNumberFormat="1" applyFill="1" applyAlignment="1">
      <alignment horizontal="left" vertical="center" wrapText="1"/>
    </xf>
    <xf numFmtId="0" fontId="13" fillId="0" borderId="0" xfId="0" applyFont="1" applyAlignment="1">
      <alignment horizontal="left" vertical="top"/>
    </xf>
    <xf numFmtId="165" fontId="14" fillId="0" borderId="0" xfId="0" applyNumberFormat="1" applyFont="1" applyAlignment="1">
      <alignment vertical="center" wrapText="1" shrinkToFit="1"/>
    </xf>
    <xf numFmtId="165" fontId="3" fillId="9" borderId="0" xfId="0" applyNumberFormat="1" applyFont="1" applyFill="1" applyAlignment="1">
      <alignment horizontal="left" vertical="top" shrinkToFit="1"/>
    </xf>
    <xf numFmtId="0" fontId="15" fillId="9" borderId="0" xfId="0" applyFont="1" applyFill="1" applyAlignment="1">
      <alignment horizontal="left" vertical="top"/>
    </xf>
    <xf numFmtId="0" fontId="0" fillId="2" borderId="7" xfId="0" applyFill="1" applyBorder="1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3" borderId="8" xfId="0" applyFill="1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2" borderId="9" xfId="0" applyFill="1" applyBorder="1" applyAlignment="1">
      <alignment horizontal="left" vertical="top"/>
    </xf>
    <xf numFmtId="0" fontId="0" fillId="4" borderId="10" xfId="0" applyFill="1" applyBorder="1" applyAlignment="1">
      <alignment horizontal="left" vertical="top"/>
    </xf>
    <xf numFmtId="0" fontId="0" fillId="4" borderId="11" xfId="0" applyFill="1" applyBorder="1" applyAlignment="1">
      <alignment horizontal="left" vertical="top"/>
    </xf>
    <xf numFmtId="0" fontId="16" fillId="0" borderId="4" xfId="0" applyFont="1" applyBorder="1" applyAlignment="1">
      <alignment horizontal="center" vertical="top" wrapText="1"/>
    </xf>
    <xf numFmtId="0" fontId="16" fillId="0" borderId="5" xfId="0" applyFont="1" applyBorder="1" applyAlignment="1">
      <alignment horizontal="center" vertical="top" wrapText="1"/>
    </xf>
    <xf numFmtId="0" fontId="16" fillId="0" borderId="6" xfId="0" applyFont="1" applyBorder="1" applyAlignment="1">
      <alignment horizontal="center" vertical="top" wrapText="1"/>
    </xf>
    <xf numFmtId="0" fontId="16" fillId="0" borderId="9" xfId="0" applyFont="1" applyBorder="1" applyAlignment="1">
      <alignment horizontal="center" vertical="top" wrapText="1"/>
    </xf>
    <xf numFmtId="0" fontId="16" fillId="0" borderId="10" xfId="0" applyFont="1" applyBorder="1" applyAlignment="1">
      <alignment horizontal="center" vertical="top" wrapText="1"/>
    </xf>
    <xf numFmtId="0" fontId="16" fillId="0" borderId="11" xfId="0" applyFont="1" applyBorder="1" applyAlignment="1">
      <alignment horizontal="center" vertical="top" wrapText="1"/>
    </xf>
    <xf numFmtId="0" fontId="0" fillId="7" borderId="0" xfId="0" applyFill="1" applyAlignment="1">
      <alignment horizontal="center" vertical="top"/>
    </xf>
    <xf numFmtId="165" fontId="3" fillId="2" borderId="0" xfId="0" applyNumberFormat="1" applyFont="1" applyFill="1" applyAlignment="1">
      <alignment horizontal="center" vertical="top" wrapText="1" shrinkToFi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top" wrapText="1"/>
    </xf>
    <xf numFmtId="0" fontId="17" fillId="0" borderId="0" xfId="0" applyFont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2" fontId="0" fillId="2" borderId="0" xfId="0" applyNumberFormat="1" applyFill="1" applyAlignment="1">
      <alignment horizontal="left" vertical="center" wrapText="1"/>
    </xf>
    <xf numFmtId="1" fontId="4" fillId="4" borderId="1" xfId="0" applyNumberFormat="1" applyFont="1" applyFill="1" applyBorder="1" applyAlignment="1">
      <alignment horizontal="left" vertical="top" shrinkToFit="1"/>
    </xf>
    <xf numFmtId="165" fontId="3" fillId="4" borderId="1" xfId="0" applyNumberFormat="1" applyFont="1" applyFill="1" applyBorder="1" applyAlignment="1">
      <alignment horizontal="left" vertical="top" shrinkToFit="1"/>
    </xf>
    <xf numFmtId="0" fontId="0" fillId="4" borderId="0" xfId="0" applyFill="1" applyAlignment="1">
      <alignment horizontal="left" vertical="top"/>
    </xf>
    <xf numFmtId="2" fontId="0" fillId="4" borderId="0" xfId="0" applyNumberFormat="1" applyFill="1" applyAlignment="1">
      <alignment horizontal="left" vertical="center" wrapText="1"/>
    </xf>
    <xf numFmtId="1" fontId="0" fillId="4" borderId="0" xfId="0" applyNumberFormat="1" applyFill="1" applyAlignment="1">
      <alignment horizontal="left" vertical="top"/>
    </xf>
    <xf numFmtId="166" fontId="3" fillId="4" borderId="1" xfId="0" applyNumberFormat="1" applyFont="1" applyFill="1" applyBorder="1" applyAlignment="1">
      <alignment horizontal="left" vertical="top" shrinkToFit="1"/>
    </xf>
    <xf numFmtId="1" fontId="9" fillId="4" borderId="1" xfId="0" applyNumberFormat="1" applyFont="1" applyFill="1" applyBorder="1" applyAlignment="1">
      <alignment horizontal="left" vertical="top" shrinkToFit="1"/>
    </xf>
    <xf numFmtId="165" fontId="10" fillId="4" borderId="1" xfId="0" applyNumberFormat="1" applyFont="1" applyFill="1" applyBorder="1" applyAlignment="1">
      <alignment horizontal="left" vertical="top" shrinkToFit="1"/>
    </xf>
    <xf numFmtId="0" fontId="11" fillId="4" borderId="0" xfId="0" applyFont="1" applyFill="1" applyAlignment="1">
      <alignment horizontal="left" vertical="top"/>
    </xf>
    <xf numFmtId="1" fontId="11" fillId="4" borderId="0" xfId="0" applyNumberFormat="1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Common mode Voltage a 3.3V gnd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8.5200734179852591E-2"/>
          <c:y val="0.12147192679552446"/>
          <c:w val="0.84369688160577061"/>
          <c:h val="0.75880282921031472"/>
        </c:manualLayout>
      </c:layout>
      <c:scatterChart>
        <c:scatterStyle val="lineMarker"/>
        <c:varyColors val="0"/>
        <c:ser>
          <c:idx val="0"/>
          <c:order val="0"/>
          <c:tx>
            <c:strRef>
              <c:f>'Table 2'!$T$105</c:f>
              <c:strCache>
                <c:ptCount val="1"/>
                <c:pt idx="0">
                  <c:v>Common mode Voltage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'Table 2'!$U$107:$U$139</c:f>
              <c:numCache>
                <c:formatCode>0.000</c:formatCode>
                <c:ptCount val="33"/>
                <c:pt idx="0">
                  <c:v>0.19379844961240311</c:v>
                </c:pt>
                <c:pt idx="1">
                  <c:v>0.38759689922480622</c:v>
                </c:pt>
                <c:pt idx="2">
                  <c:v>0.58139534883720922</c:v>
                </c:pt>
                <c:pt idx="3">
                  <c:v>0.77519379844961245</c:v>
                </c:pt>
                <c:pt idx="4">
                  <c:v>0.96899224806201545</c:v>
                </c:pt>
                <c:pt idx="5">
                  <c:v>1.1627906976744184</c:v>
                </c:pt>
                <c:pt idx="6">
                  <c:v>1.3565891472868217</c:v>
                </c:pt>
                <c:pt idx="7">
                  <c:v>1.5503875968992249</c:v>
                </c:pt>
                <c:pt idx="8">
                  <c:v>1.7441860465116279</c:v>
                </c:pt>
                <c:pt idx="9">
                  <c:v>1.9379844961240309</c:v>
                </c:pt>
                <c:pt idx="10">
                  <c:v>2.1317829457364343</c:v>
                </c:pt>
                <c:pt idx="11">
                  <c:v>2.3255813953488369</c:v>
                </c:pt>
                <c:pt idx="12">
                  <c:v>2.5193798449612403</c:v>
                </c:pt>
                <c:pt idx="13">
                  <c:v>2.7131782945736433</c:v>
                </c:pt>
                <c:pt idx="14">
                  <c:v>2.9069767441860463</c:v>
                </c:pt>
                <c:pt idx="15">
                  <c:v>3.1007751937984498</c:v>
                </c:pt>
                <c:pt idx="16">
                  <c:v>3.1976744186046511</c:v>
                </c:pt>
                <c:pt idx="17">
                  <c:v>2.9069767441860459</c:v>
                </c:pt>
                <c:pt idx="18">
                  <c:v>2.7131782945736433</c:v>
                </c:pt>
                <c:pt idx="19">
                  <c:v>2.5193798449612399</c:v>
                </c:pt>
                <c:pt idx="20">
                  <c:v>2.3255813953488365</c:v>
                </c:pt>
                <c:pt idx="21">
                  <c:v>2.1317829457364335</c:v>
                </c:pt>
                <c:pt idx="22">
                  <c:v>1.9379844961240309</c:v>
                </c:pt>
                <c:pt idx="23">
                  <c:v>1.7441860465116277</c:v>
                </c:pt>
                <c:pt idx="24">
                  <c:v>1.5503875968992245</c:v>
                </c:pt>
                <c:pt idx="25">
                  <c:v>1.3565891472868212</c:v>
                </c:pt>
                <c:pt idx="26">
                  <c:v>1.1627906976744178</c:v>
                </c:pt>
                <c:pt idx="27">
                  <c:v>0.96899224806201545</c:v>
                </c:pt>
                <c:pt idx="28">
                  <c:v>0.77519379844961223</c:v>
                </c:pt>
                <c:pt idx="29">
                  <c:v>0.58139534883720889</c:v>
                </c:pt>
                <c:pt idx="30">
                  <c:v>0.38759689922480567</c:v>
                </c:pt>
                <c:pt idx="31">
                  <c:v>0.19379844961240242</c:v>
                </c:pt>
                <c:pt idx="32">
                  <c:v>0</c:v>
                </c:pt>
              </c:numCache>
            </c:numRef>
          </c:xVal>
          <c:yVal>
            <c:numRef>
              <c:f>'Table 2'!$T$107:$T$139</c:f>
              <c:numCache>
                <c:formatCode>General</c:formatCode>
                <c:ptCount val="33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 formatCode="0.000">
                  <c:v>1</c:v>
                </c:pt>
                <c:pt idx="10" formatCode="0.000">
                  <c:v>1.1000000000000001</c:v>
                </c:pt>
                <c:pt idx="11" formatCode="0.000">
                  <c:v>1.2</c:v>
                </c:pt>
                <c:pt idx="12" formatCode="0.000">
                  <c:v>1.3</c:v>
                </c:pt>
                <c:pt idx="13" formatCode="0.000">
                  <c:v>1.4</c:v>
                </c:pt>
                <c:pt idx="14" formatCode="0.000">
                  <c:v>1.5</c:v>
                </c:pt>
                <c:pt idx="15" formatCode="0.000">
                  <c:v>1.6</c:v>
                </c:pt>
                <c:pt idx="16" formatCode="0.000">
                  <c:v>1.65</c:v>
                </c:pt>
                <c:pt idx="17" formatCode="0.000">
                  <c:v>1.8</c:v>
                </c:pt>
                <c:pt idx="18" formatCode="0.000">
                  <c:v>1.9</c:v>
                </c:pt>
                <c:pt idx="19" formatCode="0.000">
                  <c:v>2</c:v>
                </c:pt>
                <c:pt idx="20" formatCode="0.000">
                  <c:v>2.1</c:v>
                </c:pt>
                <c:pt idx="21" formatCode="0.000">
                  <c:v>2.2000000000000002</c:v>
                </c:pt>
                <c:pt idx="22" formatCode="0.000">
                  <c:v>2.2999999999999998</c:v>
                </c:pt>
                <c:pt idx="23" formatCode="0.000">
                  <c:v>2.4</c:v>
                </c:pt>
                <c:pt idx="24" formatCode="0.000">
                  <c:v>2.5</c:v>
                </c:pt>
                <c:pt idx="25" formatCode="0.000">
                  <c:v>2.6</c:v>
                </c:pt>
                <c:pt idx="26" formatCode="0.000">
                  <c:v>2.7</c:v>
                </c:pt>
                <c:pt idx="27" formatCode="0.000">
                  <c:v>2.8</c:v>
                </c:pt>
                <c:pt idx="28" formatCode="0.000">
                  <c:v>2.9</c:v>
                </c:pt>
                <c:pt idx="29" formatCode="0.000">
                  <c:v>3</c:v>
                </c:pt>
                <c:pt idx="30" formatCode="0.000">
                  <c:v>3.1</c:v>
                </c:pt>
                <c:pt idx="31" formatCode="0.000">
                  <c:v>3.2</c:v>
                </c:pt>
                <c:pt idx="32" formatCode="0.00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51-4B9A-8ACE-E9D92DC02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1283648"/>
        <c:axId val="1251304768"/>
      </c:scatterChart>
      <c:valAx>
        <c:axId val="1251283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000" b="0" i="0" u="none" strike="noStrike" baseline="0">
                    <a:effectLst/>
                  </a:rPr>
                  <a:t>Output Voltage</a:t>
                </a:r>
                <a:r>
                  <a:rPr lang="es-ES" sz="1000" b="0" i="0" u="none" strike="noStrike" baseline="0"/>
                  <a:t> 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51304768"/>
        <c:crosses val="autoZero"/>
        <c:crossBetween val="midCat"/>
      </c:valAx>
      <c:valAx>
        <c:axId val="1251304768"/>
        <c:scaling>
          <c:orientation val="minMax"/>
          <c:max val="3.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000" b="0" i="0" u="none" strike="noStrike" baseline="0">
                    <a:effectLst/>
                  </a:rPr>
                  <a:t>Common mode Voltage</a:t>
                </a:r>
                <a:r>
                  <a:rPr lang="es-ES" sz="1000" b="0" i="0" u="none" strike="noStrike" baseline="0"/>
                  <a:t> 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51283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Resistencia</a:t>
            </a:r>
            <a:r>
              <a:rPr lang="es-ES" baseline="0"/>
              <a:t> real VS aprox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9.7323007607188719E-2"/>
          <c:y val="9.7004174961623613E-2"/>
          <c:w val="0.87448904356247759"/>
          <c:h val="0.747463881809319"/>
        </c:manualLayout>
      </c:layout>
      <c:lineChart>
        <c:grouping val="standard"/>
        <c:varyColors val="0"/>
        <c:ser>
          <c:idx val="0"/>
          <c:order val="0"/>
          <c:tx>
            <c:strRef>
              <c:f>'Table 2'!$O$2</c:f>
              <c:strCache>
                <c:ptCount val="1"/>
                <c:pt idx="0">
                  <c:v>Rst, (k ohm)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'Table 2'!$N$3:$N$63</c:f>
              <c:numCache>
                <c:formatCode>0</c:formatCode>
                <c:ptCount val="6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  <c:pt idx="40">
                  <c:v>60</c:v>
                </c:pt>
                <c:pt idx="41">
                  <c:v>61</c:v>
                </c:pt>
                <c:pt idx="42">
                  <c:v>62</c:v>
                </c:pt>
                <c:pt idx="43">
                  <c:v>63</c:v>
                </c:pt>
                <c:pt idx="44">
                  <c:v>64</c:v>
                </c:pt>
                <c:pt idx="45">
                  <c:v>65</c:v>
                </c:pt>
                <c:pt idx="46">
                  <c:v>66</c:v>
                </c:pt>
                <c:pt idx="47">
                  <c:v>67</c:v>
                </c:pt>
                <c:pt idx="48">
                  <c:v>68</c:v>
                </c:pt>
                <c:pt idx="49">
                  <c:v>69</c:v>
                </c:pt>
                <c:pt idx="50">
                  <c:v>70</c:v>
                </c:pt>
                <c:pt idx="51">
                  <c:v>71</c:v>
                </c:pt>
                <c:pt idx="52">
                  <c:v>72</c:v>
                </c:pt>
                <c:pt idx="53">
                  <c:v>73</c:v>
                </c:pt>
                <c:pt idx="54">
                  <c:v>74</c:v>
                </c:pt>
                <c:pt idx="55">
                  <c:v>75</c:v>
                </c:pt>
                <c:pt idx="56">
                  <c:v>76</c:v>
                </c:pt>
                <c:pt idx="57">
                  <c:v>77</c:v>
                </c:pt>
                <c:pt idx="58">
                  <c:v>78</c:v>
                </c:pt>
                <c:pt idx="59">
                  <c:v>79</c:v>
                </c:pt>
                <c:pt idx="60">
                  <c:v>80</c:v>
                </c:pt>
              </c:numCache>
            </c:numRef>
          </c:cat>
          <c:val>
            <c:numRef>
              <c:f>'Table 2'!$O$3:$O$63</c:f>
              <c:numCache>
                <c:formatCode>0.00</c:formatCode>
                <c:ptCount val="61"/>
                <c:pt idx="0">
                  <c:v>12.09</c:v>
                </c:pt>
                <c:pt idx="1">
                  <c:v>11.63</c:v>
                </c:pt>
                <c:pt idx="2">
                  <c:v>11.2</c:v>
                </c:pt>
                <c:pt idx="3">
                  <c:v>10.78</c:v>
                </c:pt>
                <c:pt idx="4">
                  <c:v>10.38</c:v>
                </c:pt>
                <c:pt idx="5">
                  <c:v>10</c:v>
                </c:pt>
                <c:pt idx="6" formatCode="0.000">
                  <c:v>9.6329999999999991</c:v>
                </c:pt>
                <c:pt idx="7" formatCode="0.000">
                  <c:v>9.2810000000000006</c:v>
                </c:pt>
                <c:pt idx="8" formatCode="0.000">
                  <c:v>8.9450000000000003</c:v>
                </c:pt>
                <c:pt idx="9" formatCode="0.000">
                  <c:v>8.6229999999999993</c:v>
                </c:pt>
                <c:pt idx="10" formatCode="0.000">
                  <c:v>8.3140000000000001</c:v>
                </c:pt>
                <c:pt idx="11" formatCode="0.000">
                  <c:v>8.016</c:v>
                </c:pt>
                <c:pt idx="12" formatCode="0.000">
                  <c:v>7.73</c:v>
                </c:pt>
                <c:pt idx="13" formatCode="0.000">
                  <c:v>7.4560000000000004</c:v>
                </c:pt>
                <c:pt idx="14" formatCode="0.000">
                  <c:v>7.1929999999999996</c:v>
                </c:pt>
                <c:pt idx="15" formatCode="0.000">
                  <c:v>6.9409999999999998</c:v>
                </c:pt>
                <c:pt idx="16" formatCode="0.000">
                  <c:v>6.7</c:v>
                </c:pt>
                <c:pt idx="17" formatCode="0.000">
                  <c:v>6.468</c:v>
                </c:pt>
                <c:pt idx="18" formatCode="0.000">
                  <c:v>6.2460000000000004</c:v>
                </c:pt>
                <c:pt idx="19" formatCode="0.000">
                  <c:v>6.0330000000000004</c:v>
                </c:pt>
                <c:pt idx="20" formatCode="0.000">
                  <c:v>5.8289999999999997</c:v>
                </c:pt>
                <c:pt idx="21" formatCode="0.000">
                  <c:v>5.63</c:v>
                </c:pt>
                <c:pt idx="22" formatCode="0.000">
                  <c:v>5.44</c:v>
                </c:pt>
                <c:pt idx="23" formatCode="0.000">
                  <c:v>5.2569999999999997</c:v>
                </c:pt>
                <c:pt idx="24" formatCode="0.000">
                  <c:v>5.0810000000000004</c:v>
                </c:pt>
                <c:pt idx="25" formatCode="0.000">
                  <c:v>4.9119999999999999</c:v>
                </c:pt>
                <c:pt idx="26" formatCode="0.000">
                  <c:v>4.75</c:v>
                </c:pt>
                <c:pt idx="27" formatCode="0.000">
                  <c:v>4.5940000000000003</c:v>
                </c:pt>
                <c:pt idx="28" formatCode="0.000">
                  <c:v>4.444</c:v>
                </c:pt>
                <c:pt idx="29" formatCode="0.000">
                  <c:v>4.3</c:v>
                </c:pt>
                <c:pt idx="30" formatCode="0.000">
                  <c:v>4.1619999999999999</c:v>
                </c:pt>
                <c:pt idx="31" formatCode="0.000">
                  <c:v>4.0270000000000001</c:v>
                </c:pt>
                <c:pt idx="32" formatCode="0.000">
                  <c:v>3.8969999999999998</c:v>
                </c:pt>
                <c:pt idx="33" formatCode="0.000">
                  <c:v>3.7730000000000001</c:v>
                </c:pt>
                <c:pt idx="34" formatCode="0.000">
                  <c:v>3.653</c:v>
                </c:pt>
                <c:pt idx="35" formatCode="0.000">
                  <c:v>3.5369999999999999</c:v>
                </c:pt>
                <c:pt idx="36" formatCode="0.000">
                  <c:v>3.4260000000000002</c:v>
                </c:pt>
                <c:pt idx="37" formatCode="0.000">
                  <c:v>3.319</c:v>
                </c:pt>
                <c:pt idx="38" formatCode="0.000">
                  <c:v>3.2160000000000002</c:v>
                </c:pt>
                <c:pt idx="39" formatCode="0.000">
                  <c:v>3.117</c:v>
                </c:pt>
                <c:pt idx="40" formatCode="0.000">
                  <c:v>3.0219999999999998</c:v>
                </c:pt>
                <c:pt idx="41" formatCode="0.000">
                  <c:v>2.9289999999999998</c:v>
                </c:pt>
                <c:pt idx="42" formatCode="0.000">
                  <c:v>2.839</c:v>
                </c:pt>
                <c:pt idx="43" formatCode="0.000">
                  <c:v>2.7530000000000001</c:v>
                </c:pt>
                <c:pt idx="44" formatCode="0.000">
                  <c:v>2.67</c:v>
                </c:pt>
                <c:pt idx="45" formatCode="0.000">
                  <c:v>2.589</c:v>
                </c:pt>
                <c:pt idx="46" formatCode="0.000">
                  <c:v>2.512</c:v>
                </c:pt>
                <c:pt idx="47" formatCode="0.000">
                  <c:v>2.4380000000000002</c:v>
                </c:pt>
                <c:pt idx="48" formatCode="0.000">
                  <c:v>2.3660000000000001</c:v>
                </c:pt>
                <c:pt idx="49" formatCode="0.000">
                  <c:v>2.2959999999999998</c:v>
                </c:pt>
                <c:pt idx="50" formatCode="0.000">
                  <c:v>2.2290000000000001</c:v>
                </c:pt>
                <c:pt idx="51" formatCode="0.000">
                  <c:v>2.1640000000000001</c:v>
                </c:pt>
                <c:pt idx="52" formatCode="0.000">
                  <c:v>2.101</c:v>
                </c:pt>
                <c:pt idx="53" formatCode="0.000">
                  <c:v>2.04</c:v>
                </c:pt>
                <c:pt idx="54" formatCode="0.000">
                  <c:v>1.9810000000000001</c:v>
                </c:pt>
                <c:pt idx="55" formatCode="0.000">
                  <c:v>1.925</c:v>
                </c:pt>
                <c:pt idx="56" formatCode="0.000">
                  <c:v>1.87</c:v>
                </c:pt>
                <c:pt idx="57" formatCode="0.000">
                  <c:v>1.8169999999999999</c:v>
                </c:pt>
                <c:pt idx="58" formatCode="0.000">
                  <c:v>1.766</c:v>
                </c:pt>
                <c:pt idx="59" formatCode="0.000">
                  <c:v>1.716</c:v>
                </c:pt>
                <c:pt idx="60" formatCode="0.000">
                  <c:v>1.669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FD-4232-B7D4-21359DFFB213}"/>
            </c:ext>
          </c:extLst>
        </c:ser>
        <c:ser>
          <c:idx val="1"/>
          <c:order val="1"/>
          <c:tx>
            <c:strRef>
              <c:f>'Table 2'!$P$2</c:f>
              <c:strCache>
                <c:ptCount val="1"/>
                <c:pt idx="0">
                  <c:v>Rst, (k ohm) copia para la formula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'Table 2'!$N$3:$N$63</c:f>
              <c:numCache>
                <c:formatCode>0</c:formatCode>
                <c:ptCount val="6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  <c:pt idx="40">
                  <c:v>60</c:v>
                </c:pt>
                <c:pt idx="41">
                  <c:v>61</c:v>
                </c:pt>
                <c:pt idx="42">
                  <c:v>62</c:v>
                </c:pt>
                <c:pt idx="43">
                  <c:v>63</c:v>
                </c:pt>
                <c:pt idx="44">
                  <c:v>64</c:v>
                </c:pt>
                <c:pt idx="45">
                  <c:v>65</c:v>
                </c:pt>
                <c:pt idx="46">
                  <c:v>66</c:v>
                </c:pt>
                <c:pt idx="47">
                  <c:v>67</c:v>
                </c:pt>
                <c:pt idx="48">
                  <c:v>68</c:v>
                </c:pt>
                <c:pt idx="49">
                  <c:v>69</c:v>
                </c:pt>
                <c:pt idx="50">
                  <c:v>70</c:v>
                </c:pt>
                <c:pt idx="51">
                  <c:v>71</c:v>
                </c:pt>
                <c:pt idx="52">
                  <c:v>72</c:v>
                </c:pt>
                <c:pt idx="53">
                  <c:v>73</c:v>
                </c:pt>
                <c:pt idx="54">
                  <c:v>74</c:v>
                </c:pt>
                <c:pt idx="55">
                  <c:v>75</c:v>
                </c:pt>
                <c:pt idx="56">
                  <c:v>76</c:v>
                </c:pt>
                <c:pt idx="57">
                  <c:v>77</c:v>
                </c:pt>
                <c:pt idx="58">
                  <c:v>78</c:v>
                </c:pt>
                <c:pt idx="59">
                  <c:v>79</c:v>
                </c:pt>
                <c:pt idx="60">
                  <c:v>80</c:v>
                </c:pt>
              </c:numCache>
            </c:numRef>
          </c:cat>
          <c:val>
            <c:numRef>
              <c:f>'Table 2'!$P$3:$P$63</c:f>
            </c:numRef>
          </c:val>
          <c:smooth val="0"/>
          <c:extLst>
            <c:ext xmlns:c16="http://schemas.microsoft.com/office/drawing/2014/chart" uri="{C3380CC4-5D6E-409C-BE32-E72D297353CC}">
              <c16:uniqueId val="{00000001-43FD-4232-B7D4-21359DFFB213}"/>
            </c:ext>
          </c:extLst>
        </c:ser>
        <c:ser>
          <c:idx val="2"/>
          <c:order val="2"/>
          <c:tx>
            <c:strRef>
              <c:f>'Table 2'!$Q$2</c:f>
              <c:strCache>
                <c:ptCount val="1"/>
                <c:pt idx="0">
                  <c:v>Resistencia Aprox (k,ohm)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31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43FD-4232-B7D4-21359DFFB213}"/>
              </c:ext>
            </c:extLst>
          </c:dPt>
          <c:cat>
            <c:numRef>
              <c:f>'Table 2'!$N$3:$N$63</c:f>
              <c:numCache>
                <c:formatCode>0</c:formatCode>
                <c:ptCount val="6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  <c:pt idx="40">
                  <c:v>60</c:v>
                </c:pt>
                <c:pt idx="41">
                  <c:v>61</c:v>
                </c:pt>
                <c:pt idx="42">
                  <c:v>62</c:v>
                </c:pt>
                <c:pt idx="43">
                  <c:v>63</c:v>
                </c:pt>
                <c:pt idx="44">
                  <c:v>64</c:v>
                </c:pt>
                <c:pt idx="45">
                  <c:v>65</c:v>
                </c:pt>
                <c:pt idx="46">
                  <c:v>66</c:v>
                </c:pt>
                <c:pt idx="47">
                  <c:v>67</c:v>
                </c:pt>
                <c:pt idx="48">
                  <c:v>68</c:v>
                </c:pt>
                <c:pt idx="49">
                  <c:v>69</c:v>
                </c:pt>
                <c:pt idx="50">
                  <c:v>70</c:v>
                </c:pt>
                <c:pt idx="51">
                  <c:v>71</c:v>
                </c:pt>
                <c:pt idx="52">
                  <c:v>72</c:v>
                </c:pt>
                <c:pt idx="53">
                  <c:v>73</c:v>
                </c:pt>
                <c:pt idx="54">
                  <c:v>74</c:v>
                </c:pt>
                <c:pt idx="55">
                  <c:v>75</c:v>
                </c:pt>
                <c:pt idx="56">
                  <c:v>76</c:v>
                </c:pt>
                <c:pt idx="57">
                  <c:v>77</c:v>
                </c:pt>
                <c:pt idx="58">
                  <c:v>78</c:v>
                </c:pt>
                <c:pt idx="59">
                  <c:v>79</c:v>
                </c:pt>
                <c:pt idx="60">
                  <c:v>80</c:v>
                </c:pt>
              </c:numCache>
            </c:numRef>
          </c:cat>
          <c:val>
            <c:numRef>
              <c:f>'Table 2'!$Q$3:$Q$63</c:f>
            </c:numRef>
          </c:val>
          <c:smooth val="0"/>
          <c:extLst>
            <c:ext xmlns:c16="http://schemas.microsoft.com/office/drawing/2014/chart" uri="{C3380CC4-5D6E-409C-BE32-E72D297353CC}">
              <c16:uniqueId val="{00000002-43FD-4232-B7D4-21359DFFB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2630016"/>
        <c:axId val="582621376"/>
      </c:lineChart>
      <c:catAx>
        <c:axId val="582630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Temperarura</a:t>
                </a:r>
                <a:r>
                  <a:rPr lang="es-ES" baseline="0"/>
                  <a:t> ºC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82621376"/>
        <c:crosses val="autoZero"/>
        <c:auto val="1"/>
        <c:lblAlgn val="ctr"/>
        <c:lblOffset val="100"/>
        <c:noMultiLvlLbl val="0"/>
      </c:catAx>
      <c:valAx>
        <c:axId val="58262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Resistencia</a:t>
                </a:r>
                <a:r>
                  <a:rPr lang="es-ES" baseline="0"/>
                  <a:t> Kohm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82630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Output</a:t>
            </a:r>
            <a:r>
              <a:rPr lang="es-ES" baseline="0"/>
              <a:t> maximo con ese modo comun Vs Valor teorico con G=1.5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'Table 2'!$W$2</c:f>
              <c:strCache>
                <c:ptCount val="1"/>
                <c:pt idx="0">
                  <c:v>con amplificacion (x1.5)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'Table 2'!$N$4:$N$84</c:f>
              <c:numCache>
                <c:formatCode>0</c:formatCode>
                <c:ptCount val="81"/>
                <c:pt idx="0">
                  <c:v>21</c:v>
                </c:pt>
                <c:pt idx="1">
                  <c:v>22</c:v>
                </c:pt>
                <c:pt idx="2">
                  <c:v>23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  <c:pt idx="10">
                  <c:v>31</c:v>
                </c:pt>
                <c:pt idx="11">
                  <c:v>32</c:v>
                </c:pt>
                <c:pt idx="12">
                  <c:v>33</c:v>
                </c:pt>
                <c:pt idx="13">
                  <c:v>34</c:v>
                </c:pt>
                <c:pt idx="14">
                  <c:v>35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39</c:v>
                </c:pt>
                <c:pt idx="19">
                  <c:v>40</c:v>
                </c:pt>
                <c:pt idx="20">
                  <c:v>41</c:v>
                </c:pt>
                <c:pt idx="21">
                  <c:v>42</c:v>
                </c:pt>
                <c:pt idx="22">
                  <c:v>43</c:v>
                </c:pt>
                <c:pt idx="23">
                  <c:v>44</c:v>
                </c:pt>
                <c:pt idx="24">
                  <c:v>45</c:v>
                </c:pt>
                <c:pt idx="25">
                  <c:v>46</c:v>
                </c:pt>
                <c:pt idx="26">
                  <c:v>47</c:v>
                </c:pt>
                <c:pt idx="27">
                  <c:v>48</c:v>
                </c:pt>
                <c:pt idx="28">
                  <c:v>49</c:v>
                </c:pt>
                <c:pt idx="29">
                  <c:v>50</c:v>
                </c:pt>
                <c:pt idx="30">
                  <c:v>51</c:v>
                </c:pt>
                <c:pt idx="31">
                  <c:v>52</c:v>
                </c:pt>
                <c:pt idx="32">
                  <c:v>53</c:v>
                </c:pt>
                <c:pt idx="33">
                  <c:v>54</c:v>
                </c:pt>
                <c:pt idx="34">
                  <c:v>55</c:v>
                </c:pt>
                <c:pt idx="35">
                  <c:v>56</c:v>
                </c:pt>
                <c:pt idx="36">
                  <c:v>57</c:v>
                </c:pt>
                <c:pt idx="37">
                  <c:v>58</c:v>
                </c:pt>
                <c:pt idx="38">
                  <c:v>59</c:v>
                </c:pt>
                <c:pt idx="39">
                  <c:v>60</c:v>
                </c:pt>
                <c:pt idx="40">
                  <c:v>61</c:v>
                </c:pt>
                <c:pt idx="41">
                  <c:v>62</c:v>
                </c:pt>
                <c:pt idx="42">
                  <c:v>63</c:v>
                </c:pt>
                <c:pt idx="43">
                  <c:v>64</c:v>
                </c:pt>
                <c:pt idx="44">
                  <c:v>65</c:v>
                </c:pt>
                <c:pt idx="45">
                  <c:v>66</c:v>
                </c:pt>
                <c:pt idx="46">
                  <c:v>67</c:v>
                </c:pt>
                <c:pt idx="47">
                  <c:v>68</c:v>
                </c:pt>
                <c:pt idx="48">
                  <c:v>69</c:v>
                </c:pt>
                <c:pt idx="49">
                  <c:v>70</c:v>
                </c:pt>
                <c:pt idx="50">
                  <c:v>71</c:v>
                </c:pt>
                <c:pt idx="51">
                  <c:v>72</c:v>
                </c:pt>
                <c:pt idx="52">
                  <c:v>73</c:v>
                </c:pt>
                <c:pt idx="53">
                  <c:v>74</c:v>
                </c:pt>
                <c:pt idx="54">
                  <c:v>75</c:v>
                </c:pt>
                <c:pt idx="55">
                  <c:v>76</c:v>
                </c:pt>
                <c:pt idx="56">
                  <c:v>77</c:v>
                </c:pt>
                <c:pt idx="57">
                  <c:v>78</c:v>
                </c:pt>
                <c:pt idx="58">
                  <c:v>79</c:v>
                </c:pt>
                <c:pt idx="59">
                  <c:v>80</c:v>
                </c:pt>
                <c:pt idx="60">
                  <c:v>81</c:v>
                </c:pt>
                <c:pt idx="61">
                  <c:v>82</c:v>
                </c:pt>
                <c:pt idx="62">
                  <c:v>83</c:v>
                </c:pt>
                <c:pt idx="63">
                  <c:v>84</c:v>
                </c:pt>
                <c:pt idx="64">
                  <c:v>85</c:v>
                </c:pt>
                <c:pt idx="65">
                  <c:v>86</c:v>
                </c:pt>
                <c:pt idx="66">
                  <c:v>87</c:v>
                </c:pt>
                <c:pt idx="67">
                  <c:v>88</c:v>
                </c:pt>
                <c:pt idx="68">
                  <c:v>89</c:v>
                </c:pt>
                <c:pt idx="69">
                  <c:v>90</c:v>
                </c:pt>
                <c:pt idx="70">
                  <c:v>91</c:v>
                </c:pt>
                <c:pt idx="71">
                  <c:v>92</c:v>
                </c:pt>
                <c:pt idx="72">
                  <c:v>93</c:v>
                </c:pt>
                <c:pt idx="73">
                  <c:v>94</c:v>
                </c:pt>
                <c:pt idx="74">
                  <c:v>95</c:v>
                </c:pt>
                <c:pt idx="75">
                  <c:v>96</c:v>
                </c:pt>
                <c:pt idx="76">
                  <c:v>97</c:v>
                </c:pt>
                <c:pt idx="77">
                  <c:v>98</c:v>
                </c:pt>
                <c:pt idx="78">
                  <c:v>99</c:v>
                </c:pt>
                <c:pt idx="79">
                  <c:v>100</c:v>
                </c:pt>
              </c:numCache>
            </c:numRef>
          </c:cat>
          <c:val>
            <c:numRef>
              <c:f>'Table 2'!$W$4:$W$84</c:f>
              <c:numCache>
                <c:formatCode>General</c:formatCode>
                <c:ptCount val="81"/>
                <c:pt idx="0">
                  <c:v>3.8488210818308222E-2</c:v>
                </c:pt>
                <c:pt idx="1">
                  <c:v>8.4905660377358472E-2</c:v>
                </c:pt>
                <c:pt idx="2">
                  <c:v>0.13209817131857549</c:v>
                </c:pt>
                <c:pt idx="3">
                  <c:v>0.17885181550539764</c:v>
                </c:pt>
                <c:pt idx="4">
                  <c:v>0.22499999999999987</c:v>
                </c:pt>
                <c:pt idx="5">
                  <c:v>0.27126521672693926</c:v>
                </c:pt>
                <c:pt idx="6">
                  <c:v>0.31729422747782743</c:v>
                </c:pt>
                <c:pt idx="7">
                  <c:v>0.36282660332541561</c:v>
                </c:pt>
                <c:pt idx="8">
                  <c:v>0.40800354400472505</c:v>
                </c:pt>
                <c:pt idx="9">
                  <c:v>0.45285027847548309</c:v>
                </c:pt>
                <c:pt idx="10">
                  <c:v>0.49755772646536367</c:v>
                </c:pt>
                <c:pt idx="11">
                  <c:v>0.54187817258883209</c:v>
                </c:pt>
                <c:pt idx="12">
                  <c:v>0.58570119156736888</c:v>
                </c:pt>
                <c:pt idx="13">
                  <c:v>0.62907869481765799</c:v>
                </c:pt>
                <c:pt idx="14">
                  <c:v>0.67190543651496348</c:v>
                </c:pt>
                <c:pt idx="15">
                  <c:v>0.71407185628742487</c:v>
                </c:pt>
                <c:pt idx="16">
                  <c:v>0.75582948749089107</c:v>
                </c:pt>
                <c:pt idx="17">
                  <c:v>0.79690385325618629</c:v>
                </c:pt>
                <c:pt idx="18">
                  <c:v>0.83738227405975174</c:v>
                </c:pt>
                <c:pt idx="19">
                  <c:v>0.87717164697706751</c:v>
                </c:pt>
                <c:pt idx="20">
                  <c:v>0.91698656429942416</c:v>
                </c:pt>
                <c:pt idx="21">
                  <c:v>0.95595854922279766</c:v>
                </c:pt>
                <c:pt idx="22">
                  <c:v>0.99441240086517646</c:v>
                </c:pt>
                <c:pt idx="23">
                  <c:v>1.0322757111597372</c:v>
                </c:pt>
                <c:pt idx="24">
                  <c:v>1.0694742489270386</c:v>
                </c:pt>
                <c:pt idx="25">
                  <c:v>1.1059322033898302</c:v>
                </c:pt>
                <c:pt idx="26">
                  <c:v>1.1418048513087569</c:v>
                </c:pt>
                <c:pt idx="27">
                  <c:v>1.1770285239545828</c:v>
                </c:pt>
                <c:pt idx="28">
                  <c:v>1.2115384615384615</c:v>
                </c:pt>
                <c:pt idx="29">
                  <c:v>1.2452690297980509</c:v>
                </c:pt>
                <c:pt idx="30">
                  <c:v>1.2789085335424537</c:v>
                </c:pt>
                <c:pt idx="31">
                  <c:v>1.3119198388141324</c:v>
                </c:pt>
                <c:pt idx="32">
                  <c:v>1.3439882378566759</c:v>
                </c:pt>
                <c:pt idx="33">
                  <c:v>1.3755767963085035</c:v>
                </c:pt>
                <c:pt idx="34">
                  <c:v>1.4066447514220284</c:v>
                </c:pt>
                <c:pt idx="35">
                  <c:v>1.4368762103381496</c:v>
                </c:pt>
                <c:pt idx="36">
                  <c:v>1.4664952323748026</c:v>
                </c:pt>
                <c:pt idx="37">
                  <c:v>1.49546004842615</c:v>
                </c:pt>
                <c:pt idx="38">
                  <c:v>1.5237287489517419</c:v>
                </c:pt>
                <c:pt idx="39">
                  <c:v>1.5512594071571186</c:v>
                </c:pt>
                <c:pt idx="40">
                  <c:v>1.5786023667723721</c:v>
                </c:pt>
                <c:pt idx="41">
                  <c:v>1.6054404548640857</c:v>
                </c:pt>
                <c:pt idx="42">
                  <c:v>1.6314396612561748</c:v>
                </c:pt>
                <c:pt idx="43">
                  <c:v>1.6568666140489343</c:v>
                </c:pt>
                <c:pt idx="44">
                  <c:v>1.6820041305901978</c:v>
                </c:pt>
                <c:pt idx="45">
                  <c:v>1.7062020460358054</c:v>
                </c:pt>
                <c:pt idx="46">
                  <c:v>1.7297395079594786</c:v>
                </c:pt>
                <c:pt idx="47">
                  <c:v>1.7529112081513825</c:v>
                </c:pt>
                <c:pt idx="48">
                  <c:v>1.7756994144437215</c:v>
                </c:pt>
                <c:pt idx="49">
                  <c:v>1.7977553356774876</c:v>
                </c:pt>
                <c:pt idx="50">
                  <c:v>1.8193850707004273</c:v>
                </c:pt>
                <c:pt idx="51">
                  <c:v>1.8405710271878357</c:v>
                </c:pt>
                <c:pt idx="52">
                  <c:v>1.8612956810631227</c:v>
                </c:pt>
                <c:pt idx="53">
                  <c:v>1.8815416075452798</c:v>
                </c:pt>
                <c:pt idx="54">
                  <c:v>1.9009433962264148</c:v>
                </c:pt>
                <c:pt idx="55">
                  <c:v>1.9201769165964615</c:v>
                </c:pt>
                <c:pt idx="56">
                  <c:v>1.9388804265041888</c:v>
                </c:pt>
                <c:pt idx="57">
                  <c:v>1.9570372259051501</c:v>
                </c:pt>
                <c:pt idx="58">
                  <c:v>1.9749914646637077</c:v>
                </c:pt>
                <c:pt idx="59">
                  <c:v>1.9920087411089207</c:v>
                </c:pt>
                <c:pt idx="60">
                  <c:v>2.0091636551368093</c:v>
                </c:pt>
                <c:pt idx="61">
                  <c:v>2.0257190982119719</c:v>
                </c:pt>
                <c:pt idx="62">
                  <c:v>2.0416594416507716</c:v>
                </c:pt>
                <c:pt idx="63">
                  <c:v>2.057344239470936</c:v>
                </c:pt>
                <c:pt idx="64">
                  <c:v>2.0727665706051872</c:v>
                </c:pt>
                <c:pt idx="65">
                  <c:v>2.0875394321766558</c:v>
                </c:pt>
                <c:pt idx="66">
                  <c:v>2.1020309477756287</c:v>
                </c:pt>
                <c:pt idx="67">
                  <c:v>2.1162344535591426</c:v>
                </c:pt>
                <c:pt idx="68">
                  <c:v>2.130143350146005</c:v>
                </c:pt>
                <c:pt idx="69">
                  <c:v>2.1437511095331079</c:v>
                </c:pt>
                <c:pt idx="70">
                  <c:v>2.1566589513041929</c:v>
                </c:pt>
                <c:pt idx="71">
                  <c:v>2.1696428571428568</c:v>
                </c:pt>
                <c:pt idx="72">
                  <c:v>2.1819097502014504</c:v>
                </c:pt>
                <c:pt idx="73">
                  <c:v>2.1942449272759919</c:v>
                </c:pt>
                <c:pt idx="74">
                  <c:v>2.2062477493698234</c:v>
                </c:pt>
                <c:pt idx="75">
                  <c:v>2.2175090252707577</c:v>
                </c:pt>
                <c:pt idx="76">
                  <c:v>2.2288273615635177</c:v>
                </c:pt>
                <c:pt idx="77">
                  <c:v>2.2397959183673466</c:v>
                </c:pt>
                <c:pt idx="78">
                  <c:v>2.2504091281025547</c:v>
                </c:pt>
                <c:pt idx="79">
                  <c:v>2.2607848765685228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0D-4EAB-9FAF-CD7AB6ACCB12}"/>
            </c:ext>
          </c:extLst>
        </c:ser>
        <c:ser>
          <c:idx val="1"/>
          <c:order val="1"/>
          <c:tx>
            <c:strRef>
              <c:f>'Table 2'!$X$2</c:f>
              <c:strCache>
                <c:ptCount val="1"/>
                <c:pt idx="0">
                  <c:v>valor mximo del output del INA con ese modo comun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'Table 2'!$N$4:$N$84</c:f>
              <c:numCache>
                <c:formatCode>0</c:formatCode>
                <c:ptCount val="81"/>
                <c:pt idx="0">
                  <c:v>21</c:v>
                </c:pt>
                <c:pt idx="1">
                  <c:v>22</c:v>
                </c:pt>
                <c:pt idx="2">
                  <c:v>23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  <c:pt idx="10">
                  <c:v>31</c:v>
                </c:pt>
                <c:pt idx="11">
                  <c:v>32</c:v>
                </c:pt>
                <c:pt idx="12">
                  <c:v>33</c:v>
                </c:pt>
                <c:pt idx="13">
                  <c:v>34</c:v>
                </c:pt>
                <c:pt idx="14">
                  <c:v>35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39</c:v>
                </c:pt>
                <c:pt idx="19">
                  <c:v>40</c:v>
                </c:pt>
                <c:pt idx="20">
                  <c:v>41</c:v>
                </c:pt>
                <c:pt idx="21">
                  <c:v>42</c:v>
                </c:pt>
                <c:pt idx="22">
                  <c:v>43</c:v>
                </c:pt>
                <c:pt idx="23">
                  <c:v>44</c:v>
                </c:pt>
                <c:pt idx="24">
                  <c:v>45</c:v>
                </c:pt>
                <c:pt idx="25">
                  <c:v>46</c:v>
                </c:pt>
                <c:pt idx="26">
                  <c:v>47</c:v>
                </c:pt>
                <c:pt idx="27">
                  <c:v>48</c:v>
                </c:pt>
                <c:pt idx="28">
                  <c:v>49</c:v>
                </c:pt>
                <c:pt idx="29">
                  <c:v>50</c:v>
                </c:pt>
                <c:pt idx="30">
                  <c:v>51</c:v>
                </c:pt>
                <c:pt idx="31">
                  <c:v>52</c:v>
                </c:pt>
                <c:pt idx="32">
                  <c:v>53</c:v>
                </c:pt>
                <c:pt idx="33">
                  <c:v>54</c:v>
                </c:pt>
                <c:pt idx="34">
                  <c:v>55</c:v>
                </c:pt>
                <c:pt idx="35">
                  <c:v>56</c:v>
                </c:pt>
                <c:pt idx="36">
                  <c:v>57</c:v>
                </c:pt>
                <c:pt idx="37">
                  <c:v>58</c:v>
                </c:pt>
                <c:pt idx="38">
                  <c:v>59</c:v>
                </c:pt>
                <c:pt idx="39">
                  <c:v>60</c:v>
                </c:pt>
                <c:pt idx="40">
                  <c:v>61</c:v>
                </c:pt>
                <c:pt idx="41">
                  <c:v>62</c:v>
                </c:pt>
                <c:pt idx="42">
                  <c:v>63</c:v>
                </c:pt>
                <c:pt idx="43">
                  <c:v>64</c:v>
                </c:pt>
                <c:pt idx="44">
                  <c:v>65</c:v>
                </c:pt>
                <c:pt idx="45">
                  <c:v>66</c:v>
                </c:pt>
                <c:pt idx="46">
                  <c:v>67</c:v>
                </c:pt>
                <c:pt idx="47">
                  <c:v>68</c:v>
                </c:pt>
                <c:pt idx="48">
                  <c:v>69</c:v>
                </c:pt>
                <c:pt idx="49">
                  <c:v>70</c:v>
                </c:pt>
                <c:pt idx="50">
                  <c:v>71</c:v>
                </c:pt>
                <c:pt idx="51">
                  <c:v>72</c:v>
                </c:pt>
                <c:pt idx="52">
                  <c:v>73</c:v>
                </c:pt>
                <c:pt idx="53">
                  <c:v>74</c:v>
                </c:pt>
                <c:pt idx="54">
                  <c:v>75</c:v>
                </c:pt>
                <c:pt idx="55">
                  <c:v>76</c:v>
                </c:pt>
                <c:pt idx="56">
                  <c:v>77</c:v>
                </c:pt>
                <c:pt idx="57">
                  <c:v>78</c:v>
                </c:pt>
                <c:pt idx="58">
                  <c:v>79</c:v>
                </c:pt>
                <c:pt idx="59">
                  <c:v>80</c:v>
                </c:pt>
                <c:pt idx="60">
                  <c:v>81</c:v>
                </c:pt>
                <c:pt idx="61">
                  <c:v>82</c:v>
                </c:pt>
                <c:pt idx="62">
                  <c:v>83</c:v>
                </c:pt>
                <c:pt idx="63">
                  <c:v>84</c:v>
                </c:pt>
                <c:pt idx="64">
                  <c:v>85</c:v>
                </c:pt>
                <c:pt idx="65">
                  <c:v>86</c:v>
                </c:pt>
                <c:pt idx="66">
                  <c:v>87</c:v>
                </c:pt>
                <c:pt idx="67">
                  <c:v>88</c:v>
                </c:pt>
                <c:pt idx="68">
                  <c:v>89</c:v>
                </c:pt>
                <c:pt idx="69">
                  <c:v>90</c:v>
                </c:pt>
                <c:pt idx="70">
                  <c:v>91</c:v>
                </c:pt>
                <c:pt idx="71">
                  <c:v>92</c:v>
                </c:pt>
                <c:pt idx="72">
                  <c:v>93</c:v>
                </c:pt>
                <c:pt idx="73">
                  <c:v>94</c:v>
                </c:pt>
                <c:pt idx="74">
                  <c:v>95</c:v>
                </c:pt>
                <c:pt idx="75">
                  <c:v>96</c:v>
                </c:pt>
                <c:pt idx="76">
                  <c:v>97</c:v>
                </c:pt>
                <c:pt idx="77">
                  <c:v>98</c:v>
                </c:pt>
                <c:pt idx="78">
                  <c:v>99</c:v>
                </c:pt>
                <c:pt idx="79">
                  <c:v>100</c:v>
                </c:pt>
              </c:numCache>
            </c:numRef>
          </c:cat>
          <c:val>
            <c:numRef>
              <c:f>'Table 2'!$X$4:$X$84</c:f>
              <c:numCache>
                <c:formatCode>General</c:formatCode>
                <c:ptCount val="81"/>
                <c:pt idx="0">
                  <c:v>3.4635089077401107</c:v>
                </c:pt>
                <c:pt idx="1">
                  <c:v>3.4335234752084247</c:v>
                </c:pt>
                <c:pt idx="2">
                  <c:v>3.4030373570293433</c:v>
                </c:pt>
                <c:pt idx="3">
                  <c:v>3.3728347445055569</c:v>
                </c:pt>
                <c:pt idx="4">
                  <c:v>3.3430232558139532</c:v>
                </c:pt>
                <c:pt idx="5">
                  <c:v>3.3131361649050772</c:v>
                </c:pt>
                <c:pt idx="6">
                  <c:v>3.2834016618360282</c:v>
                </c:pt>
                <c:pt idx="7">
                  <c:v>3.2539879823479221</c:v>
                </c:pt>
                <c:pt idx="8">
                  <c:v>3.2248039121416503</c:v>
                </c:pt>
                <c:pt idx="9">
                  <c:v>3.1958331534396098</c:v>
                </c:pt>
                <c:pt idx="10">
                  <c:v>3.1669523730843898</c:v>
                </c:pt>
                <c:pt idx="11">
                  <c:v>3.138321593934863</c:v>
                </c:pt>
                <c:pt idx="12">
                  <c:v>3.1100121501502782</c:v>
                </c:pt>
                <c:pt idx="13">
                  <c:v>3.0819905072237344</c:v>
                </c:pt>
                <c:pt idx="14">
                  <c:v>3.0543246534141058</c:v>
                </c:pt>
                <c:pt idx="15">
                  <c:v>3.0270853641554099</c:v>
                </c:pt>
                <c:pt idx="16">
                  <c:v>3.0001101501996823</c:v>
                </c:pt>
                <c:pt idx="17">
                  <c:v>2.9735763221859259</c:v>
                </c:pt>
                <c:pt idx="18">
                  <c:v>2.9474274715376274</c:v>
                </c:pt>
                <c:pt idx="19">
                  <c:v>2.9217237422628761</c:v>
                </c:pt>
                <c:pt idx="20">
                  <c:v>2.89600351143448</c:v>
                </c:pt>
                <c:pt idx="21">
                  <c:v>2.8708278105795877</c:v>
                </c:pt>
                <c:pt idx="22">
                  <c:v>2.8459868211465262</c:v>
                </c:pt>
                <c:pt idx="23">
                  <c:v>2.8215273183722624</c:v>
                </c:pt>
                <c:pt idx="24">
                  <c:v>2.7974972552150912</c:v>
                </c:pt>
                <c:pt idx="25">
                  <c:v>2.7739456050453288</c:v>
                </c:pt>
                <c:pt idx="26">
                  <c:v>2.7507720598780638</c:v>
                </c:pt>
                <c:pt idx="27">
                  <c:v>2.7280177493833437</c:v>
                </c:pt>
                <c:pt idx="28">
                  <c:v>2.7057245080500891</c:v>
                </c:pt>
                <c:pt idx="29">
                  <c:v>2.6839347352725764</c:v>
                </c:pt>
                <c:pt idx="30">
                  <c:v>2.6622037897012567</c:v>
                </c:pt>
                <c:pt idx="31">
                  <c:v>2.6408786570968132</c:v>
                </c:pt>
                <c:pt idx="32">
                  <c:v>2.6201626370434905</c:v>
                </c:pt>
                <c:pt idx="33">
                  <c:v>2.5997565915319742</c:v>
                </c:pt>
                <c:pt idx="34">
                  <c:v>2.5796868530865447</c:v>
                </c:pt>
                <c:pt idx="35">
                  <c:v>2.5601574868616601</c:v>
                </c:pt>
                <c:pt idx="36">
                  <c:v>2.5410237516958638</c:v>
                </c:pt>
                <c:pt idx="37">
                  <c:v>2.5223126302156649</c:v>
                </c:pt>
                <c:pt idx="38">
                  <c:v>2.5040511957676084</c:v>
                </c:pt>
                <c:pt idx="39">
                  <c:v>2.4862665328442382</c:v>
                </c:pt>
                <c:pt idx="40">
                  <c:v>2.4686031222400695</c:v>
                </c:pt>
                <c:pt idx="41">
                  <c:v>2.4512658560309522</c:v>
                </c:pt>
                <c:pt idx="42">
                  <c:v>2.4344705030644862</c:v>
                </c:pt>
                <c:pt idx="43">
                  <c:v>2.4180448229658045</c:v>
                </c:pt>
                <c:pt idx="44">
                  <c:v>2.4018061171897944</c:v>
                </c:pt>
                <c:pt idx="45">
                  <c:v>2.3861743888657583</c:v>
                </c:pt>
                <c:pt idx="46">
                  <c:v>2.3709693101036957</c:v>
                </c:pt>
                <c:pt idx="47">
                  <c:v>2.3560005115301141</c:v>
                </c:pt>
                <c:pt idx="48">
                  <c:v>2.3412794480337711</c:v>
                </c:pt>
                <c:pt idx="49">
                  <c:v>2.3270314369008469</c:v>
                </c:pt>
                <c:pt idx="50">
                  <c:v>2.3130587398576048</c:v>
                </c:pt>
                <c:pt idx="51">
                  <c:v>2.299372721454886</c:v>
                </c:pt>
                <c:pt idx="52">
                  <c:v>2.2859847021556052</c:v>
                </c:pt>
                <c:pt idx="53">
                  <c:v>2.2729059382782428</c:v>
                </c:pt>
                <c:pt idx="54">
                  <c:v>2.2603724830578713</c:v>
                </c:pt>
                <c:pt idx="55">
                  <c:v>2.2479477282968592</c:v>
                </c:pt>
                <c:pt idx="56">
                  <c:v>2.2358653575554333</c:v>
                </c:pt>
                <c:pt idx="57">
                  <c:v>2.2241361589760009</c:v>
                </c:pt>
                <c:pt idx="58">
                  <c:v>2.2125378135247367</c:v>
                </c:pt>
                <c:pt idx="59">
                  <c:v>2.2015447408857094</c:v>
                </c:pt>
                <c:pt idx="60">
                  <c:v>2.1904627550795799</c:v>
                </c:pt>
                <c:pt idx="61">
                  <c:v>2.1797680244108704</c:v>
                </c:pt>
                <c:pt idx="62">
                  <c:v>2.1694706449284418</c:v>
                </c:pt>
                <c:pt idx="63">
                  <c:v>2.159338346595002</c:v>
                </c:pt>
                <c:pt idx="64">
                  <c:v>2.1493756003842455</c:v>
                </c:pt>
                <c:pt idx="65">
                  <c:v>2.1398324081546147</c:v>
                </c:pt>
                <c:pt idx="66">
                  <c:v>2.1304709639692319</c:v>
                </c:pt>
                <c:pt idx="67">
                  <c:v>2.1212955726362126</c:v>
                </c:pt>
                <c:pt idx="68">
                  <c:v>2.112310497321702</c:v>
                </c:pt>
                <c:pt idx="69">
                  <c:v>2.1035199550819712</c:v>
                </c:pt>
                <c:pt idx="70">
                  <c:v>2.0951815560050431</c:v>
                </c:pt>
                <c:pt idx="71">
                  <c:v>2.0867940199335546</c:v>
                </c:pt>
                <c:pt idx="72">
                  <c:v>2.0788696704124994</c:v>
                </c:pt>
                <c:pt idx="73">
                  <c:v>2.0709012097700308</c:v>
                </c:pt>
                <c:pt idx="74">
                  <c:v>2.0631474487275043</c:v>
                </c:pt>
                <c:pt idx="75">
                  <c:v>2.0558727226933087</c:v>
                </c:pt>
                <c:pt idx="76">
                  <c:v>2.0485611359408793</c:v>
                </c:pt>
                <c:pt idx="77">
                  <c:v>2.0414755049306543</c:v>
                </c:pt>
                <c:pt idx="78">
                  <c:v>2.0346194262903392</c:v>
                </c:pt>
                <c:pt idx="79">
                  <c:v>2.0279167464027625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0D-4EAB-9FAF-CD7AB6ACC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7693503"/>
        <c:axId val="1627693983"/>
      </c:lineChart>
      <c:catAx>
        <c:axId val="1627693503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27693983"/>
        <c:crosses val="autoZero"/>
        <c:auto val="1"/>
        <c:lblAlgn val="ctr"/>
        <c:lblOffset val="100"/>
        <c:noMultiLvlLbl val="0"/>
      </c:catAx>
      <c:valAx>
        <c:axId val="162769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27693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87</xdr:row>
      <xdr:rowOff>0</xdr:rowOff>
    </xdr:from>
    <xdr:to>
      <xdr:col>19</xdr:col>
      <xdr:colOff>179817</xdr:colOff>
      <xdr:row>103</xdr:row>
      <xdr:rowOff>51580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30CE33-26CA-B516-2EAB-6496B8342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5500" y="18680206"/>
          <a:ext cx="4830258" cy="3458168"/>
        </a:xfrm>
        <a:prstGeom prst="rect">
          <a:avLst/>
        </a:prstGeom>
      </xdr:spPr>
    </xdr:pic>
    <xdr:clientData/>
  </xdr:twoCellAnchor>
  <xdr:twoCellAnchor editAs="oneCell">
    <xdr:from>
      <xdr:col>19</xdr:col>
      <xdr:colOff>291352</xdr:colOff>
      <xdr:row>87</xdr:row>
      <xdr:rowOff>11206</xdr:rowOff>
    </xdr:from>
    <xdr:to>
      <xdr:col>22</xdr:col>
      <xdr:colOff>498872</xdr:colOff>
      <xdr:row>103</xdr:row>
      <xdr:rowOff>62786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06C921-1C8F-5CF6-6600-CF8444E24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57293" y="18691412"/>
          <a:ext cx="4801932" cy="3458168"/>
        </a:xfrm>
        <a:prstGeom prst="rect">
          <a:avLst/>
        </a:prstGeom>
      </xdr:spPr>
    </xdr:pic>
    <xdr:clientData/>
  </xdr:twoCellAnchor>
  <xdr:twoCellAnchor editAs="oneCell">
    <xdr:from>
      <xdr:col>22</xdr:col>
      <xdr:colOff>1042147</xdr:colOff>
      <xdr:row>89</xdr:row>
      <xdr:rowOff>201707</xdr:rowOff>
    </xdr:from>
    <xdr:to>
      <xdr:col>24</xdr:col>
      <xdr:colOff>446430</xdr:colOff>
      <xdr:row>94</xdr:row>
      <xdr:rowOff>13569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C009511-1A20-0BB8-E5DA-360B933D8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159433" y="18544136"/>
          <a:ext cx="3119834" cy="832397"/>
        </a:xfrm>
        <a:prstGeom prst="rect">
          <a:avLst/>
        </a:prstGeom>
      </xdr:spPr>
    </xdr:pic>
    <xdr:clientData/>
  </xdr:twoCellAnchor>
  <xdr:twoCellAnchor>
    <xdr:from>
      <xdr:col>21</xdr:col>
      <xdr:colOff>688652</xdr:colOff>
      <xdr:row>108</xdr:row>
      <xdr:rowOff>106996</xdr:rowOff>
    </xdr:from>
    <xdr:to>
      <xdr:col>25</xdr:col>
      <xdr:colOff>515470</xdr:colOff>
      <xdr:row>128</xdr:row>
      <xdr:rowOff>192102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CF0106C-58BB-0D7E-8285-EC13BA2AA2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148614</xdr:colOff>
      <xdr:row>5</xdr:row>
      <xdr:rowOff>117503</xdr:rowOff>
    </xdr:from>
    <xdr:to>
      <xdr:col>47</xdr:col>
      <xdr:colOff>366894</xdr:colOff>
      <xdr:row>44</xdr:row>
      <xdr:rowOff>203595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D32A4F6-F5FD-453F-30FD-006CA37B55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359970</xdr:colOff>
      <xdr:row>70</xdr:row>
      <xdr:rowOff>142503</xdr:rowOff>
    </xdr:from>
    <xdr:to>
      <xdr:col>34</xdr:col>
      <xdr:colOff>393990</xdr:colOff>
      <xdr:row>83</xdr:row>
      <xdr:rowOff>99642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A1CD58A-8B23-9F27-839E-055CF8C1D0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workbookViewId="0"/>
  </sheetViews>
  <sheetFormatPr baseColWidth="10" defaultColWidth="9.33203125" defaultRowHeight="12.75" x14ac:dyDescent="0.2"/>
  <cols>
    <col min="1" max="1" width="12.5" customWidth="1"/>
    <col min="2" max="2" width="4.6640625" customWidth="1"/>
    <col min="3" max="3" width="19.33203125" customWidth="1"/>
    <col min="4" max="4" width="16.1640625" customWidth="1"/>
    <col min="5" max="5" width="18.6640625" customWidth="1"/>
    <col min="6" max="6" width="12.6640625" customWidth="1"/>
    <col min="7" max="7" width="9.5" customWidth="1"/>
    <col min="8" max="8" width="14.6640625" customWidth="1"/>
  </cols>
  <sheetData>
    <row r="1" spans="1:8" ht="16.5" customHeight="1" x14ac:dyDescent="0.2">
      <c r="A1" s="1" t="s">
        <v>0</v>
      </c>
    </row>
    <row r="2" spans="1:8" ht="16.5" customHeight="1" x14ac:dyDescent="0.2">
      <c r="A2" s="1" t="s">
        <v>1</v>
      </c>
    </row>
    <row r="3" spans="1:8" ht="16.5" customHeight="1" x14ac:dyDescent="0.2">
      <c r="A3" s="1" t="s">
        <v>2</v>
      </c>
    </row>
    <row r="4" spans="1:8" ht="16.5" customHeight="1" x14ac:dyDescent="0.2">
      <c r="A4" s="1" t="s">
        <v>3</v>
      </c>
    </row>
    <row r="5" spans="1:8" ht="16.5" customHeight="1" x14ac:dyDescent="0.2">
      <c r="A5" s="1" t="s">
        <v>4</v>
      </c>
    </row>
    <row r="6" spans="1:8" ht="69.2" customHeight="1" x14ac:dyDescent="0.2">
      <c r="A6" s="59" t="s">
        <v>5</v>
      </c>
      <c r="B6" s="59"/>
      <c r="C6" s="59"/>
      <c r="D6" s="59"/>
      <c r="E6" s="59"/>
      <c r="F6" s="59"/>
      <c r="G6" s="59"/>
      <c r="H6" s="59"/>
    </row>
    <row r="7" spans="1:8" ht="16.5" customHeight="1" x14ac:dyDescent="0.2">
      <c r="A7" s="57" t="s">
        <v>6</v>
      </c>
      <c r="B7" s="58"/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</row>
    <row r="8" spans="1:8" ht="16.5" customHeight="1" x14ac:dyDescent="0.2">
      <c r="A8" s="57" t="s">
        <v>12</v>
      </c>
      <c r="B8" s="58"/>
      <c r="C8" s="3">
        <v>616.1</v>
      </c>
      <c r="D8" s="3">
        <v>600.6</v>
      </c>
      <c r="E8" s="3">
        <v>585.4</v>
      </c>
      <c r="F8" s="1" t="s">
        <v>13</v>
      </c>
      <c r="G8" s="1" t="s">
        <v>14</v>
      </c>
    </row>
    <row r="9" spans="1:8" ht="16.5" customHeight="1" x14ac:dyDescent="0.2">
      <c r="A9" s="57" t="s">
        <v>15</v>
      </c>
      <c r="B9" s="58"/>
      <c r="C9" s="3">
        <v>578.1</v>
      </c>
      <c r="D9" s="3">
        <v>563.70000000000005</v>
      </c>
      <c r="E9" s="3">
        <v>549.6</v>
      </c>
      <c r="F9" s="1" t="s">
        <v>13</v>
      </c>
      <c r="G9" s="1" t="s">
        <v>16</v>
      </c>
    </row>
    <row r="10" spans="1:8" ht="16.5" customHeight="1" x14ac:dyDescent="0.2">
      <c r="A10" s="57" t="s">
        <v>17</v>
      </c>
      <c r="B10" s="58"/>
      <c r="C10" s="3">
        <v>542.70000000000005</v>
      </c>
      <c r="D10" s="3">
        <v>529.4</v>
      </c>
      <c r="E10" s="3">
        <v>516.29999999999995</v>
      </c>
      <c r="F10" s="1" t="s">
        <v>13</v>
      </c>
      <c r="G10" s="1" t="s">
        <v>16</v>
      </c>
    </row>
    <row r="11" spans="1:8" ht="16.5" customHeight="1" x14ac:dyDescent="0.2">
      <c r="A11" s="57" t="s">
        <v>18</v>
      </c>
      <c r="B11" s="58"/>
      <c r="C11" s="3">
        <v>509.8</v>
      </c>
      <c r="D11" s="3">
        <v>497.4</v>
      </c>
      <c r="E11" s="3">
        <v>485.3</v>
      </c>
      <c r="F11" s="1" t="s">
        <v>13</v>
      </c>
      <c r="G11" s="1" t="s">
        <v>16</v>
      </c>
    </row>
    <row r="12" spans="1:8" ht="16.5" customHeight="1" x14ac:dyDescent="0.2">
      <c r="A12" s="57" t="s">
        <v>19</v>
      </c>
      <c r="B12" s="58"/>
      <c r="C12" s="3">
        <v>479.2</v>
      </c>
      <c r="D12" s="3">
        <v>467.7</v>
      </c>
      <c r="E12" s="3">
        <v>456.5</v>
      </c>
      <c r="F12" s="1" t="s">
        <v>13</v>
      </c>
      <c r="G12" s="1" t="s">
        <v>16</v>
      </c>
    </row>
    <row r="13" spans="1:8" ht="16.5" customHeight="1" x14ac:dyDescent="0.2">
      <c r="A13" s="57" t="s">
        <v>20</v>
      </c>
      <c r="B13" s="58"/>
      <c r="C13" s="3">
        <v>450.7</v>
      </c>
      <c r="D13" s="3">
        <v>440</v>
      </c>
      <c r="E13" s="3">
        <v>429.5</v>
      </c>
      <c r="F13" s="1" t="s">
        <v>13</v>
      </c>
      <c r="G13" s="1" t="s">
        <v>16</v>
      </c>
    </row>
    <row r="14" spans="1:8" ht="16.5" customHeight="1" x14ac:dyDescent="0.2">
      <c r="A14" s="57" t="s">
        <v>21</v>
      </c>
      <c r="B14" s="58"/>
      <c r="C14" s="3">
        <v>424.1</v>
      </c>
      <c r="D14" s="3">
        <v>414.2</v>
      </c>
      <c r="E14" s="3">
        <v>404.4</v>
      </c>
      <c r="F14" s="1" t="s">
        <v>13</v>
      </c>
      <c r="G14" s="1" t="s">
        <v>16</v>
      </c>
    </row>
    <row r="15" spans="1:8" ht="16.5" customHeight="1" x14ac:dyDescent="0.2">
      <c r="A15" s="57" t="s">
        <v>22</v>
      </c>
      <c r="B15" s="58"/>
      <c r="C15" s="3">
        <v>399.3</v>
      </c>
      <c r="D15" s="3">
        <v>390</v>
      </c>
      <c r="E15" s="3">
        <v>381</v>
      </c>
      <c r="F15" s="1" t="s">
        <v>23</v>
      </c>
      <c r="G15" s="1" t="s">
        <v>16</v>
      </c>
    </row>
    <row r="16" spans="1:8" ht="16.5" customHeight="1" x14ac:dyDescent="0.2">
      <c r="A16" s="57" t="s">
        <v>24</v>
      </c>
      <c r="B16" s="58"/>
      <c r="C16" s="3">
        <v>376.1</v>
      </c>
      <c r="D16" s="3">
        <v>367.5</v>
      </c>
      <c r="E16" s="3">
        <v>359.1</v>
      </c>
      <c r="F16" s="1" t="s">
        <v>23</v>
      </c>
      <c r="G16" s="1" t="s">
        <v>16</v>
      </c>
    </row>
    <row r="17" spans="1:7" ht="16.5" customHeight="1" x14ac:dyDescent="0.2">
      <c r="A17" s="57" t="s">
        <v>25</v>
      </c>
      <c r="B17" s="58"/>
      <c r="C17" s="3">
        <v>354.5</v>
      </c>
      <c r="D17" s="3">
        <v>346.5</v>
      </c>
      <c r="E17" s="3">
        <v>338.7</v>
      </c>
      <c r="F17" s="1" t="s">
        <v>23</v>
      </c>
      <c r="G17" s="1" t="s">
        <v>26</v>
      </c>
    </row>
    <row r="18" spans="1:7" ht="16.5" customHeight="1" x14ac:dyDescent="0.2">
      <c r="A18" s="57" t="s">
        <v>27</v>
      </c>
      <c r="B18" s="58"/>
      <c r="C18" s="3">
        <v>334.3</v>
      </c>
      <c r="D18" s="3">
        <v>326.89999999999998</v>
      </c>
      <c r="E18" s="3">
        <v>319.60000000000002</v>
      </c>
      <c r="F18" s="1" t="s">
        <v>23</v>
      </c>
      <c r="G18" s="1" t="s">
        <v>26</v>
      </c>
    </row>
    <row r="19" spans="1:7" ht="16.5" customHeight="1" x14ac:dyDescent="0.2">
      <c r="A19" s="57" t="s">
        <v>28</v>
      </c>
      <c r="B19" s="58"/>
      <c r="C19" s="3">
        <v>315.5</v>
      </c>
      <c r="D19" s="3">
        <v>308.5</v>
      </c>
      <c r="E19" s="3">
        <v>301.7</v>
      </c>
      <c r="F19" s="1" t="s">
        <v>23</v>
      </c>
      <c r="G19" s="1" t="s">
        <v>26</v>
      </c>
    </row>
    <row r="20" spans="1:7" ht="16.5" customHeight="1" x14ac:dyDescent="0.2">
      <c r="A20" s="57" t="s">
        <v>29</v>
      </c>
      <c r="B20" s="58"/>
      <c r="C20" s="3">
        <v>297.8</v>
      </c>
      <c r="D20" s="3">
        <v>291.3</v>
      </c>
      <c r="E20" s="3">
        <v>285</v>
      </c>
      <c r="F20" s="1" t="s">
        <v>23</v>
      </c>
      <c r="G20" s="1" t="s">
        <v>26</v>
      </c>
    </row>
    <row r="21" spans="1:7" ht="16.5" customHeight="1" x14ac:dyDescent="0.2">
      <c r="A21" s="57" t="s">
        <v>30</v>
      </c>
      <c r="B21" s="58"/>
      <c r="C21" s="3">
        <v>281.3</v>
      </c>
      <c r="D21" s="3">
        <v>275.2</v>
      </c>
      <c r="E21" s="3">
        <v>269.3</v>
      </c>
      <c r="F21" s="1" t="s">
        <v>23</v>
      </c>
      <c r="G21" s="1" t="s">
        <v>26</v>
      </c>
    </row>
    <row r="22" spans="1:7" ht="16.5" customHeight="1" x14ac:dyDescent="0.2">
      <c r="A22" s="57" t="s">
        <v>31</v>
      </c>
      <c r="B22" s="58"/>
      <c r="C22" s="3">
        <v>265.8</v>
      </c>
      <c r="D22" s="3">
        <v>260.10000000000002</v>
      </c>
      <c r="E22" s="3">
        <v>254.6</v>
      </c>
      <c r="F22" s="1" t="s">
        <v>32</v>
      </c>
      <c r="G22" s="1" t="s">
        <v>26</v>
      </c>
    </row>
    <row r="23" spans="1:7" ht="16.5" customHeight="1" x14ac:dyDescent="0.2">
      <c r="A23" s="57" t="s">
        <v>33</v>
      </c>
      <c r="B23" s="58"/>
      <c r="C23" s="3">
        <v>251.3</v>
      </c>
      <c r="D23" s="3">
        <v>246</v>
      </c>
      <c r="E23" s="3">
        <v>240.8</v>
      </c>
      <c r="F23" s="1" t="s">
        <v>32</v>
      </c>
      <c r="G23" s="1" t="s">
        <v>34</v>
      </c>
    </row>
    <row r="24" spans="1:7" ht="16.5" customHeight="1" x14ac:dyDescent="0.2">
      <c r="A24" s="57" t="s">
        <v>35</v>
      </c>
      <c r="B24" s="58"/>
      <c r="C24" s="3">
        <v>237.7</v>
      </c>
      <c r="D24" s="3">
        <v>232.8</v>
      </c>
      <c r="E24" s="3">
        <v>227.9</v>
      </c>
      <c r="F24" s="1" t="s">
        <v>32</v>
      </c>
      <c r="G24" s="1" t="s">
        <v>34</v>
      </c>
    </row>
    <row r="25" spans="1:7" ht="16.5" customHeight="1" x14ac:dyDescent="0.2">
      <c r="A25" s="57" t="s">
        <v>36</v>
      </c>
      <c r="B25" s="58"/>
      <c r="C25" s="3">
        <v>224.9</v>
      </c>
      <c r="D25" s="3">
        <v>220.3</v>
      </c>
      <c r="E25" s="3">
        <v>215.8</v>
      </c>
      <c r="F25" s="1" t="s">
        <v>32</v>
      </c>
      <c r="G25" s="1" t="s">
        <v>34</v>
      </c>
    </row>
    <row r="26" spans="1:7" ht="16.5" customHeight="1" x14ac:dyDescent="0.2">
      <c r="A26" s="57" t="s">
        <v>37</v>
      </c>
      <c r="B26" s="58"/>
      <c r="C26" s="3">
        <v>213</v>
      </c>
      <c r="D26" s="3">
        <v>208.7</v>
      </c>
      <c r="E26" s="3">
        <v>204.5</v>
      </c>
      <c r="F26" s="1" t="s">
        <v>32</v>
      </c>
      <c r="G26" s="1" t="s">
        <v>34</v>
      </c>
    </row>
    <row r="27" spans="1:7" ht="16.5" customHeight="1" x14ac:dyDescent="0.2">
      <c r="A27" s="57" t="s">
        <v>38</v>
      </c>
      <c r="B27" s="58"/>
      <c r="C27" s="3">
        <v>201.7</v>
      </c>
      <c r="D27" s="3">
        <v>197.7</v>
      </c>
      <c r="E27" s="3">
        <v>193.8</v>
      </c>
      <c r="F27" s="1" t="s">
        <v>32</v>
      </c>
      <c r="G27" s="1" t="s">
        <v>34</v>
      </c>
    </row>
    <row r="28" spans="1:7" ht="16.5" customHeight="1" x14ac:dyDescent="0.2">
      <c r="A28" s="57" t="s">
        <v>39</v>
      </c>
      <c r="B28" s="58"/>
      <c r="C28" s="3">
        <v>191.2</v>
      </c>
      <c r="D28" s="3">
        <v>187.4</v>
      </c>
      <c r="E28" s="3">
        <v>183.7</v>
      </c>
      <c r="F28" s="1" t="s">
        <v>40</v>
      </c>
      <c r="G28" s="1" t="s">
        <v>41</v>
      </c>
    </row>
    <row r="29" spans="1:7" ht="16.5" customHeight="1" x14ac:dyDescent="0.2">
      <c r="A29" s="57" t="s">
        <v>42</v>
      </c>
      <c r="B29" s="58"/>
      <c r="C29" s="3">
        <v>181</v>
      </c>
      <c r="D29" s="3">
        <v>177.5</v>
      </c>
      <c r="E29" s="3">
        <v>174</v>
      </c>
      <c r="F29" s="1" t="s">
        <v>43</v>
      </c>
      <c r="G29" s="1" t="s">
        <v>41</v>
      </c>
    </row>
    <row r="30" spans="1:7" ht="16.5" customHeight="1" x14ac:dyDescent="0.2">
      <c r="A30" s="57" t="s">
        <v>44</v>
      </c>
      <c r="B30" s="58"/>
      <c r="C30" s="3">
        <v>171.5</v>
      </c>
      <c r="D30" s="3">
        <v>168.2</v>
      </c>
      <c r="E30" s="3">
        <v>164.9</v>
      </c>
      <c r="F30" s="1" t="s">
        <v>43</v>
      </c>
      <c r="G30" s="1" t="s">
        <v>41</v>
      </c>
    </row>
    <row r="31" spans="1:7" ht="16.5" customHeight="1" x14ac:dyDescent="0.2">
      <c r="A31" s="57" t="s">
        <v>45</v>
      </c>
      <c r="B31" s="58"/>
      <c r="C31" s="3">
        <v>162.5</v>
      </c>
      <c r="D31" s="3">
        <v>159.4</v>
      </c>
      <c r="E31" s="3">
        <v>156.4</v>
      </c>
      <c r="F31" s="1" t="s">
        <v>43</v>
      </c>
      <c r="G31" s="1" t="s">
        <v>41</v>
      </c>
    </row>
    <row r="32" spans="1:7" ht="16.5" customHeight="1" x14ac:dyDescent="0.2">
      <c r="A32" s="57" t="s">
        <v>46</v>
      </c>
      <c r="B32" s="58"/>
      <c r="C32" s="3">
        <v>154</v>
      </c>
      <c r="D32" s="3">
        <v>151.1</v>
      </c>
      <c r="E32" s="3">
        <v>148.30000000000001</v>
      </c>
      <c r="F32" s="1" t="s">
        <v>43</v>
      </c>
      <c r="G32" s="1" t="s">
        <v>41</v>
      </c>
    </row>
    <row r="33" spans="1:7" ht="16.5" customHeight="1" x14ac:dyDescent="0.2">
      <c r="A33" s="57" t="s">
        <v>47</v>
      </c>
      <c r="B33" s="58"/>
      <c r="C33" s="3">
        <v>146.1</v>
      </c>
      <c r="D33" s="3">
        <v>143.4</v>
      </c>
      <c r="E33" s="3">
        <v>140.69999999999999</v>
      </c>
      <c r="F33" s="1" t="s">
        <v>48</v>
      </c>
      <c r="G33" s="1" t="s">
        <v>49</v>
      </c>
    </row>
    <row r="34" spans="1:7" ht="16.5" customHeight="1" x14ac:dyDescent="0.2">
      <c r="A34" s="57" t="s">
        <v>50</v>
      </c>
      <c r="B34" s="58"/>
      <c r="C34" s="3">
        <v>138.6</v>
      </c>
      <c r="D34" s="3">
        <v>136.1</v>
      </c>
      <c r="E34" s="3">
        <v>133.6</v>
      </c>
      <c r="F34" s="1" t="s">
        <v>48</v>
      </c>
      <c r="G34" s="1" t="s">
        <v>49</v>
      </c>
    </row>
    <row r="35" spans="1:7" ht="16.5" customHeight="1" x14ac:dyDescent="0.2">
      <c r="A35" s="57" t="s">
        <v>51</v>
      </c>
      <c r="B35" s="58"/>
      <c r="C35" s="3">
        <v>131.6</v>
      </c>
      <c r="D35" s="3">
        <v>129.19999999999999</v>
      </c>
      <c r="E35" s="3">
        <v>126.9</v>
      </c>
      <c r="F35" s="1" t="s">
        <v>48</v>
      </c>
      <c r="G35" s="1" t="s">
        <v>49</v>
      </c>
    </row>
    <row r="36" spans="1:7" ht="16.5" customHeight="1" x14ac:dyDescent="0.2">
      <c r="A36" s="57" t="s">
        <v>52</v>
      </c>
      <c r="B36" s="58"/>
      <c r="C36" s="3">
        <v>125</v>
      </c>
      <c r="D36" s="3">
        <v>122.8</v>
      </c>
      <c r="E36" s="3">
        <v>120.6</v>
      </c>
      <c r="F36" s="1" t="s">
        <v>48</v>
      </c>
      <c r="G36" s="1" t="s">
        <v>49</v>
      </c>
    </row>
    <row r="37" spans="1:7" ht="16.5" customHeight="1" x14ac:dyDescent="0.2">
      <c r="A37" s="57" t="s">
        <v>53</v>
      </c>
      <c r="B37" s="58"/>
      <c r="C37" s="3">
        <v>118.7</v>
      </c>
      <c r="D37" s="3">
        <v>116.7</v>
      </c>
      <c r="E37" s="3">
        <v>114.6</v>
      </c>
      <c r="F37" s="1" t="s">
        <v>54</v>
      </c>
      <c r="G37" s="1" t="s">
        <v>49</v>
      </c>
    </row>
    <row r="38" spans="1:7" ht="16.5" customHeight="1" x14ac:dyDescent="0.2">
      <c r="A38" s="57" t="s">
        <v>55</v>
      </c>
      <c r="B38" s="58"/>
      <c r="C38" s="3">
        <v>112.9</v>
      </c>
      <c r="D38" s="3">
        <v>110.9</v>
      </c>
      <c r="E38" s="3">
        <v>109</v>
      </c>
      <c r="F38" s="1" t="s">
        <v>54</v>
      </c>
      <c r="G38" s="1" t="s">
        <v>56</v>
      </c>
    </row>
    <row r="39" spans="1:7" ht="16.5" customHeight="1" x14ac:dyDescent="0.2">
      <c r="A39" s="57" t="s">
        <v>57</v>
      </c>
      <c r="B39" s="58"/>
      <c r="C39" s="3">
        <v>107.2</v>
      </c>
      <c r="D39" s="3">
        <v>105.4</v>
      </c>
      <c r="E39" s="3">
        <v>103.6</v>
      </c>
      <c r="F39" s="1" t="s">
        <v>58</v>
      </c>
      <c r="G39" s="1" t="s">
        <v>59</v>
      </c>
    </row>
    <row r="40" spans="1:7" ht="16.5" customHeight="1" x14ac:dyDescent="0.2">
      <c r="A40" s="57" t="s">
        <v>60</v>
      </c>
      <c r="B40" s="58"/>
      <c r="C40" s="3">
        <v>101.9</v>
      </c>
      <c r="D40" s="3">
        <v>100.1</v>
      </c>
      <c r="E40" s="4">
        <v>98.5</v>
      </c>
      <c r="F40" s="1" t="s">
        <v>58</v>
      </c>
      <c r="G40" s="1" t="s">
        <v>59</v>
      </c>
    </row>
    <row r="41" spans="1:7" ht="16.5" customHeight="1" x14ac:dyDescent="0.2">
      <c r="A41" s="57" t="s">
        <v>61</v>
      </c>
      <c r="B41" s="58"/>
      <c r="C41" s="4">
        <v>96.78</v>
      </c>
      <c r="D41" s="4">
        <v>95.22</v>
      </c>
      <c r="E41" s="4">
        <v>93.67</v>
      </c>
      <c r="F41" s="1" t="s">
        <v>58</v>
      </c>
      <c r="G41" s="1" t="s">
        <v>59</v>
      </c>
    </row>
    <row r="42" spans="1:7" ht="16.5" customHeight="1" x14ac:dyDescent="0.2">
      <c r="A42" s="57" t="s">
        <v>62</v>
      </c>
      <c r="B42" s="58"/>
      <c r="C42" s="4">
        <v>92.03</v>
      </c>
      <c r="D42" s="4">
        <v>90.57</v>
      </c>
      <c r="E42" s="4">
        <v>89.12</v>
      </c>
      <c r="F42" s="1" t="s">
        <v>58</v>
      </c>
      <c r="G42" s="1" t="s">
        <v>59</v>
      </c>
    </row>
    <row r="43" spans="1:7" ht="16.5" customHeight="1" x14ac:dyDescent="0.2">
      <c r="A43" s="57" t="s">
        <v>63</v>
      </c>
      <c r="B43" s="58"/>
      <c r="C43" s="4">
        <v>87.56</v>
      </c>
      <c r="D43" s="4">
        <v>86.18</v>
      </c>
      <c r="E43" s="4">
        <v>84.83</v>
      </c>
      <c r="F43" s="1" t="s">
        <v>64</v>
      </c>
      <c r="G43" s="1" t="s">
        <v>65</v>
      </c>
    </row>
    <row r="44" spans="1:7" ht="16.5" customHeight="1" x14ac:dyDescent="0.2">
      <c r="A44" s="57" t="s">
        <v>66</v>
      </c>
      <c r="B44" s="58"/>
      <c r="C44" s="4">
        <v>83.33</v>
      </c>
      <c r="D44" s="4">
        <v>82.04</v>
      </c>
      <c r="E44" s="4">
        <v>80.77</v>
      </c>
      <c r="F44" s="1" t="s">
        <v>64</v>
      </c>
      <c r="G44" s="1" t="s">
        <v>65</v>
      </c>
    </row>
    <row r="45" spans="1:7" ht="16.5" customHeight="1" x14ac:dyDescent="0.2">
      <c r="A45" s="57" t="s">
        <v>67</v>
      </c>
      <c r="B45" s="58"/>
      <c r="C45" s="4">
        <v>79.34</v>
      </c>
      <c r="D45" s="4">
        <v>78.13</v>
      </c>
      <c r="E45" s="4">
        <v>76.94</v>
      </c>
      <c r="F45" s="1" t="s">
        <v>64</v>
      </c>
      <c r="G45" s="1" t="s">
        <v>65</v>
      </c>
    </row>
    <row r="46" spans="1:7" ht="16.5" customHeight="1" x14ac:dyDescent="0.2">
      <c r="A46" s="57" t="s">
        <v>68</v>
      </c>
      <c r="B46" s="58"/>
      <c r="C46" s="4">
        <v>75.569999999999993</v>
      </c>
      <c r="D46" s="4">
        <v>74.44</v>
      </c>
      <c r="E46" s="4">
        <v>73.319999999999993</v>
      </c>
      <c r="F46" s="1" t="s">
        <v>64</v>
      </c>
      <c r="G46" s="1" t="s">
        <v>65</v>
      </c>
    </row>
    <row r="47" spans="1:7" ht="16.5" customHeight="1" x14ac:dyDescent="0.2">
      <c r="A47" s="57" t="s">
        <v>69</v>
      </c>
      <c r="B47" s="58"/>
      <c r="C47" s="4">
        <v>72</v>
      </c>
      <c r="D47" s="4">
        <v>70.94</v>
      </c>
      <c r="E47" s="4">
        <v>69.89</v>
      </c>
      <c r="F47" s="1" t="s">
        <v>70</v>
      </c>
      <c r="G47" s="1" t="s">
        <v>71</v>
      </c>
    </row>
    <row r="48" spans="1:7" ht="16.5" customHeight="1" x14ac:dyDescent="0.2">
      <c r="A48" s="57" t="s">
        <v>72</v>
      </c>
      <c r="B48" s="58"/>
      <c r="C48" s="4">
        <v>68.63</v>
      </c>
      <c r="D48" s="4">
        <v>67.64</v>
      </c>
      <c r="E48" s="4">
        <v>66.650000000000006</v>
      </c>
      <c r="F48" s="1" t="s">
        <v>70</v>
      </c>
      <c r="G48" s="1" t="s">
        <v>71</v>
      </c>
    </row>
    <row r="49" spans="1:7" ht="16.5" customHeight="1" x14ac:dyDescent="0.2">
      <c r="A49" s="57" t="s">
        <v>73</v>
      </c>
      <c r="B49" s="58"/>
      <c r="C49" s="4">
        <v>65.38</v>
      </c>
      <c r="D49" s="4">
        <v>64.44</v>
      </c>
      <c r="E49" s="4">
        <v>63.52</v>
      </c>
      <c r="F49" s="1" t="s">
        <v>74</v>
      </c>
      <c r="G49" s="1" t="s">
        <v>75</v>
      </c>
    </row>
    <row r="50" spans="1:7" ht="16.5" customHeight="1" x14ac:dyDescent="0.2">
      <c r="A50" s="57" t="s">
        <v>76</v>
      </c>
      <c r="B50" s="58"/>
      <c r="C50" s="4">
        <v>62.3</v>
      </c>
      <c r="D50" s="4">
        <v>61.42</v>
      </c>
      <c r="E50" s="4">
        <v>60.56</v>
      </c>
      <c r="F50" s="1" t="s">
        <v>74</v>
      </c>
      <c r="G50" s="1" t="s">
        <v>75</v>
      </c>
    </row>
  </sheetData>
  <mergeCells count="45">
    <mergeCell ref="A6:H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69"/>
  <sheetViews>
    <sheetView tabSelected="1" topLeftCell="Y54" zoomScaleNormal="100" workbookViewId="0">
      <selection activeCell="AJ77" sqref="AJ77"/>
    </sheetView>
  </sheetViews>
  <sheetFormatPr baseColWidth="10" defaultColWidth="9.33203125" defaultRowHeight="12.75" x14ac:dyDescent="0.2"/>
  <cols>
    <col min="1" max="1" width="17.1640625" customWidth="1"/>
    <col min="2" max="2" width="19.33203125" customWidth="1"/>
    <col min="3" max="3" width="16.1640625" customWidth="1"/>
    <col min="4" max="4" width="18.6640625" customWidth="1"/>
    <col min="5" max="5" width="12.6640625" customWidth="1"/>
    <col min="6" max="6" width="9.5" customWidth="1"/>
    <col min="13" max="13" width="6" customWidth="1"/>
    <col min="14" max="14" width="13.83203125" customWidth="1"/>
    <col min="15" max="15" width="20.6640625" bestFit="1" customWidth="1"/>
    <col min="16" max="16" width="25.83203125" hidden="1" customWidth="1"/>
    <col min="17" max="17" width="30.33203125" hidden="1" customWidth="1"/>
    <col min="18" max="21" width="30.33203125" customWidth="1"/>
    <col min="22" max="22" width="19.6640625" customWidth="1"/>
    <col min="23" max="24" width="32.5" customWidth="1"/>
    <col min="25" max="25" width="16" bestFit="1" customWidth="1"/>
    <col min="26" max="26" width="18.6640625" bestFit="1" customWidth="1"/>
    <col min="27" max="27" width="15.5" bestFit="1" customWidth="1"/>
  </cols>
  <sheetData>
    <row r="1" spans="1:26" ht="15" x14ac:dyDescent="0.2">
      <c r="A1" s="2" t="s">
        <v>265</v>
      </c>
      <c r="B1" s="2" t="s">
        <v>266</v>
      </c>
      <c r="C1" s="2" t="s">
        <v>267</v>
      </c>
      <c r="D1" s="2" t="s">
        <v>268</v>
      </c>
      <c r="E1" s="2" t="s">
        <v>10</v>
      </c>
      <c r="F1" s="2" t="s">
        <v>11</v>
      </c>
      <c r="T1" s="29" t="s">
        <v>283</v>
      </c>
      <c r="U1" s="52" t="s">
        <v>282</v>
      </c>
      <c r="V1" s="52"/>
      <c r="W1" s="52"/>
      <c r="X1" s="52"/>
      <c r="Y1" s="52"/>
      <c r="Z1" s="52"/>
    </row>
    <row r="2" spans="1:26" ht="30.75" thickBot="1" x14ac:dyDescent="0.25">
      <c r="A2" s="2" t="s">
        <v>77</v>
      </c>
      <c r="B2" s="4">
        <v>59.39</v>
      </c>
      <c r="C2" s="4">
        <v>58.57</v>
      </c>
      <c r="D2" s="4">
        <v>57.76</v>
      </c>
      <c r="E2" s="1" t="s">
        <v>74</v>
      </c>
      <c r="F2" s="1" t="s">
        <v>75</v>
      </c>
      <c r="N2" s="2" t="s">
        <v>265</v>
      </c>
      <c r="O2" s="2" t="s">
        <v>267</v>
      </c>
      <c r="P2" s="2" t="s">
        <v>279</v>
      </c>
      <c r="Q2" s="8" t="s">
        <v>269</v>
      </c>
      <c r="R2" s="8" t="s">
        <v>280</v>
      </c>
      <c r="S2" s="8" t="s">
        <v>281</v>
      </c>
      <c r="T2" s="33" t="s">
        <v>284</v>
      </c>
      <c r="U2" s="8" t="s">
        <v>278</v>
      </c>
      <c r="V2" s="8" t="s">
        <v>274</v>
      </c>
      <c r="W2" s="12" t="s">
        <v>275</v>
      </c>
      <c r="X2" s="30" t="s">
        <v>293</v>
      </c>
      <c r="Y2" s="24" t="s">
        <v>276</v>
      </c>
      <c r="Z2" s="25" t="s">
        <v>277</v>
      </c>
    </row>
    <row r="3" spans="1:26" ht="16.5" customHeight="1" x14ac:dyDescent="0.2">
      <c r="A3" s="2" t="s">
        <v>78</v>
      </c>
      <c r="B3" s="4">
        <v>56.63</v>
      </c>
      <c r="C3" s="4">
        <v>55.87</v>
      </c>
      <c r="D3" s="4">
        <v>55.1</v>
      </c>
      <c r="E3" s="1" t="s">
        <v>79</v>
      </c>
      <c r="F3" s="1" t="s">
        <v>80</v>
      </c>
      <c r="I3" s="46" t="s">
        <v>294</v>
      </c>
      <c r="J3" s="47"/>
      <c r="K3" s="47"/>
      <c r="L3" s="48"/>
      <c r="N3" s="5">
        <v>20</v>
      </c>
      <c r="O3" s="4">
        <v>12.09</v>
      </c>
      <c r="P3" s="4">
        <v>12.09</v>
      </c>
      <c r="Q3" s="10">
        <v>11.22</v>
      </c>
      <c r="R3" s="10">
        <f>(12*3.3/(10+12))</f>
        <v>1.7999999999999998</v>
      </c>
      <c r="S3" s="10">
        <f>O3*3.3/(P3+10)</f>
        <v>1.8061113626075147</v>
      </c>
      <c r="T3" s="34">
        <f>S3/3.3*255</f>
        <v>139.56315074694433</v>
      </c>
      <c r="U3" s="10">
        <f>(R3+S3)/2</f>
        <v>1.8030556813037573</v>
      </c>
      <c r="V3" s="9">
        <f>-(5*P3/(10+P3)-5*12.09/(10+12.09))</f>
        <v>0</v>
      </c>
      <c r="W3">
        <f>V3*2</f>
        <v>0</v>
      </c>
      <c r="X3">
        <f t="shared" ref="X3:X15" si="0">U3/0.516</f>
        <v>3.4942939560150332</v>
      </c>
      <c r="Y3">
        <f>W3/3.3*1023</f>
        <v>0</v>
      </c>
      <c r="Z3" s="17">
        <f>Y3/8</f>
        <v>0</v>
      </c>
    </row>
    <row r="4" spans="1:26" ht="16.5" customHeight="1" thickBot="1" x14ac:dyDescent="0.25">
      <c r="A4" s="2" t="s">
        <v>81</v>
      </c>
      <c r="B4" s="4">
        <v>54.03</v>
      </c>
      <c r="C4" s="4">
        <v>53.31</v>
      </c>
      <c r="D4" s="4">
        <v>52.59</v>
      </c>
      <c r="E4" s="1" t="s">
        <v>79</v>
      </c>
      <c r="F4" s="1" t="s">
        <v>80</v>
      </c>
      <c r="I4" s="49"/>
      <c r="J4" s="50"/>
      <c r="K4" s="50"/>
      <c r="L4" s="51"/>
      <c r="N4" s="5">
        <v>21</v>
      </c>
      <c r="O4" s="4">
        <v>11.63</v>
      </c>
      <c r="P4" s="4">
        <v>11.63</v>
      </c>
      <c r="Q4" s="10">
        <v>10.97</v>
      </c>
      <c r="R4" s="10">
        <f t="shared" ref="R4:R67" si="1">(12*3.3/(10+12))</f>
        <v>1.7999999999999998</v>
      </c>
      <c r="S4" s="10">
        <f>O4*3.3/(P4+10)</f>
        <v>1.7743411927877943</v>
      </c>
      <c r="T4" s="34">
        <f t="shared" ref="T4:T63" si="2">S4/3.3*255</f>
        <v>137.10818307905683</v>
      </c>
      <c r="U4" s="10">
        <f>(R4+S4)/2</f>
        <v>1.7871705963938971</v>
      </c>
      <c r="V4" s="10">
        <f>R4-S4</f>
        <v>2.5658807212205481E-2</v>
      </c>
      <c r="W4">
        <f>V4*1.5</f>
        <v>3.8488210818308222E-2</v>
      </c>
      <c r="X4">
        <f t="shared" si="0"/>
        <v>3.4635089077401107</v>
      </c>
      <c r="Y4" s="15">
        <f>W4/3.3*1023</f>
        <v>11.93134535367555</v>
      </c>
      <c r="Z4" s="18">
        <f>Y4/4</f>
        <v>2.9828363384188874</v>
      </c>
    </row>
    <row r="5" spans="1:26" ht="16.5" customHeight="1" x14ac:dyDescent="0.2">
      <c r="A5" s="2" t="s">
        <v>82</v>
      </c>
      <c r="B5" s="4">
        <v>51.56</v>
      </c>
      <c r="C5" s="4">
        <v>50.88</v>
      </c>
      <c r="D5" s="4">
        <v>50.21</v>
      </c>
      <c r="E5" s="1" t="s">
        <v>79</v>
      </c>
      <c r="F5" s="1" t="s">
        <v>80</v>
      </c>
      <c r="I5" s="39" t="s">
        <v>272</v>
      </c>
      <c r="J5" s="40" t="s">
        <v>271</v>
      </c>
      <c r="K5" s="40"/>
      <c r="L5" s="41"/>
      <c r="N5" s="5">
        <v>22</v>
      </c>
      <c r="O5" s="4">
        <v>11.2</v>
      </c>
      <c r="P5" s="4">
        <v>11.2</v>
      </c>
      <c r="Q5" s="10">
        <v>10.71</v>
      </c>
      <c r="R5" s="10">
        <f t="shared" si="1"/>
        <v>1.7999999999999998</v>
      </c>
      <c r="S5" s="10">
        <f t="shared" ref="S5:S63" si="3">O5*3.3/(P5+10)</f>
        <v>1.7433962264150942</v>
      </c>
      <c r="T5" s="34">
        <f t="shared" si="2"/>
        <v>134.71698113207546</v>
      </c>
      <c r="U5" s="10">
        <f t="shared" ref="U5:U69" si="4">(R5+S5)/2</f>
        <v>1.7716981132075471</v>
      </c>
      <c r="V5" s="10">
        <f t="shared" ref="V5:V63" si="5">R5-S5</f>
        <v>5.6603773584905648E-2</v>
      </c>
      <c r="W5">
        <f t="shared" ref="W5:W68" si="6">V5*1.5</f>
        <v>8.4905660377358472E-2</v>
      </c>
      <c r="X5">
        <f t="shared" si="0"/>
        <v>3.4335234752084247</v>
      </c>
      <c r="Y5" s="15">
        <f t="shared" ref="Y5:Y67" si="7">W5/3.3*1023</f>
        <v>26.320754716981124</v>
      </c>
      <c r="Z5" s="18">
        <f>Y5/4</f>
        <v>6.5801886792452811</v>
      </c>
    </row>
    <row r="6" spans="1:26" ht="16.5" customHeight="1" x14ac:dyDescent="0.2">
      <c r="A6" s="2" t="s">
        <v>83</v>
      </c>
      <c r="B6" s="4">
        <v>49.22</v>
      </c>
      <c r="C6" s="4">
        <v>48.59</v>
      </c>
      <c r="D6" s="4">
        <v>47.96</v>
      </c>
      <c r="E6" s="1" t="s">
        <v>79</v>
      </c>
      <c r="F6" s="1" t="s">
        <v>80</v>
      </c>
      <c r="I6" s="39"/>
      <c r="L6" s="42"/>
      <c r="N6" s="5">
        <v>23</v>
      </c>
      <c r="O6" s="4">
        <v>10.78</v>
      </c>
      <c r="P6" s="4">
        <v>10.78</v>
      </c>
      <c r="Q6" s="10">
        <v>10.45</v>
      </c>
      <c r="R6" s="10">
        <f t="shared" si="1"/>
        <v>1.7999999999999998</v>
      </c>
      <c r="S6" s="10">
        <f t="shared" si="3"/>
        <v>1.7119345524542828</v>
      </c>
      <c r="T6" s="34">
        <f t="shared" si="2"/>
        <v>132.28585178055823</v>
      </c>
      <c r="U6" s="10">
        <f t="shared" si="4"/>
        <v>1.7559672762271412</v>
      </c>
      <c r="V6" s="10">
        <f t="shared" si="5"/>
        <v>8.8065447545716991E-2</v>
      </c>
      <c r="W6">
        <f t="shared" si="6"/>
        <v>0.13209817131857549</v>
      </c>
      <c r="X6">
        <f t="shared" si="0"/>
        <v>3.4030373570293433</v>
      </c>
      <c r="Y6" s="15">
        <f t="shared" si="7"/>
        <v>40.950433108758403</v>
      </c>
      <c r="Z6" s="18">
        <f t="shared" ref="Z6:Z68" si="8">Y6/4</f>
        <v>10.237608277189601</v>
      </c>
    </row>
    <row r="7" spans="1:26" ht="16.5" customHeight="1" thickBot="1" x14ac:dyDescent="0.25">
      <c r="A7" s="2" t="s">
        <v>84</v>
      </c>
      <c r="B7" s="4">
        <v>47.01</v>
      </c>
      <c r="C7" s="4">
        <v>46.41</v>
      </c>
      <c r="D7" s="4">
        <v>45.82</v>
      </c>
      <c r="E7" s="1" t="s">
        <v>85</v>
      </c>
      <c r="F7" s="1" t="s">
        <v>86</v>
      </c>
      <c r="I7" s="43" t="s">
        <v>273</v>
      </c>
      <c r="J7" s="44" t="s">
        <v>270</v>
      </c>
      <c r="K7" s="44"/>
      <c r="L7" s="45"/>
      <c r="N7" s="5">
        <v>24</v>
      </c>
      <c r="O7" s="4">
        <v>10.38</v>
      </c>
      <c r="P7" s="4">
        <v>10.38</v>
      </c>
      <c r="Q7" s="10">
        <v>10.19</v>
      </c>
      <c r="R7" s="10">
        <f t="shared" si="1"/>
        <v>1.7999999999999998</v>
      </c>
      <c r="S7" s="10">
        <f t="shared" si="3"/>
        <v>1.6807654563297347</v>
      </c>
      <c r="T7" s="34">
        <f t="shared" si="2"/>
        <v>129.8773307163886</v>
      </c>
      <c r="U7" s="10">
        <f t="shared" si="4"/>
        <v>1.7403827281648674</v>
      </c>
      <c r="V7" s="10">
        <f t="shared" si="5"/>
        <v>0.11923454367026509</v>
      </c>
      <c r="W7">
        <f t="shared" si="6"/>
        <v>0.17885181550539764</v>
      </c>
      <c r="X7">
        <f t="shared" si="0"/>
        <v>3.3728347445055569</v>
      </c>
      <c r="Y7" s="15">
        <f t="shared" si="7"/>
        <v>55.444062806673273</v>
      </c>
      <c r="Z7" s="18">
        <f t="shared" si="8"/>
        <v>13.861015701668318</v>
      </c>
    </row>
    <row r="8" spans="1:26" ht="16.5" customHeight="1" x14ac:dyDescent="0.2">
      <c r="A8" s="2" t="s">
        <v>87</v>
      </c>
      <c r="B8" s="4">
        <v>44.91</v>
      </c>
      <c r="C8" s="4">
        <v>44.35</v>
      </c>
      <c r="D8" s="4">
        <v>43.8</v>
      </c>
      <c r="E8" s="1" t="s">
        <v>85</v>
      </c>
      <c r="F8" s="1" t="s">
        <v>86</v>
      </c>
      <c r="N8" s="5">
        <v>25</v>
      </c>
      <c r="O8" s="4">
        <v>10</v>
      </c>
      <c r="P8" s="4">
        <v>10</v>
      </c>
      <c r="Q8" s="10">
        <v>9.93</v>
      </c>
      <c r="R8" s="10">
        <f t="shared" si="1"/>
        <v>1.7999999999999998</v>
      </c>
      <c r="S8" s="10">
        <f t="shared" si="3"/>
        <v>1.65</v>
      </c>
      <c r="T8" s="34">
        <f t="shared" si="2"/>
        <v>127.5</v>
      </c>
      <c r="U8" s="10">
        <f t="shared" si="4"/>
        <v>1.7249999999999999</v>
      </c>
      <c r="V8" s="10">
        <f t="shared" si="5"/>
        <v>0.14999999999999991</v>
      </c>
      <c r="W8">
        <f t="shared" si="6"/>
        <v>0.22499999999999987</v>
      </c>
      <c r="X8">
        <f t="shared" si="0"/>
        <v>3.3430232558139532</v>
      </c>
      <c r="Y8" s="15">
        <f t="shared" si="7"/>
        <v>69.749999999999972</v>
      </c>
      <c r="Z8" s="18">
        <f t="shared" si="8"/>
        <v>17.437499999999993</v>
      </c>
    </row>
    <row r="9" spans="1:26" ht="16.5" customHeight="1" x14ac:dyDescent="0.2">
      <c r="A9" s="2" t="s">
        <v>88</v>
      </c>
      <c r="B9" s="4">
        <v>42.92</v>
      </c>
      <c r="C9" s="4">
        <v>42.39</v>
      </c>
      <c r="D9" s="4">
        <v>41.87</v>
      </c>
      <c r="E9" s="1" t="s">
        <v>85</v>
      </c>
      <c r="F9" s="1" t="s">
        <v>89</v>
      </c>
      <c r="N9" s="5">
        <v>26</v>
      </c>
      <c r="O9" s="6">
        <v>9.6329999999999991</v>
      </c>
      <c r="P9" s="6">
        <v>9.6329999999999991</v>
      </c>
      <c r="Q9" s="10">
        <v>9.67</v>
      </c>
      <c r="R9" s="10">
        <f t="shared" si="1"/>
        <v>1.7999999999999998</v>
      </c>
      <c r="S9" s="10">
        <f t="shared" si="3"/>
        <v>1.6191565221820403</v>
      </c>
      <c r="T9" s="34">
        <f t="shared" si="2"/>
        <v>125.1166403504304</v>
      </c>
      <c r="U9" s="10">
        <f t="shared" si="4"/>
        <v>1.70957826109102</v>
      </c>
      <c r="V9" s="10">
        <f t="shared" si="5"/>
        <v>0.18084347781795951</v>
      </c>
      <c r="W9">
        <f t="shared" si="6"/>
        <v>0.27126521672693926</v>
      </c>
      <c r="X9">
        <f t="shared" si="0"/>
        <v>3.3131361649050772</v>
      </c>
      <c r="Y9" s="15">
        <f t="shared" si="7"/>
        <v>84.092217185351174</v>
      </c>
      <c r="Z9" s="18">
        <f t="shared" si="8"/>
        <v>21.023054296337794</v>
      </c>
    </row>
    <row r="10" spans="1:26" ht="16.5" customHeight="1" x14ac:dyDescent="0.2">
      <c r="A10" s="2" t="s">
        <v>90</v>
      </c>
      <c r="B10" s="4">
        <v>40.99</v>
      </c>
      <c r="C10" s="4">
        <v>40.5</v>
      </c>
      <c r="D10" s="4">
        <v>40.01</v>
      </c>
      <c r="E10" s="1" t="s">
        <v>91</v>
      </c>
      <c r="F10" s="1" t="s">
        <v>89</v>
      </c>
      <c r="N10" s="5">
        <v>27</v>
      </c>
      <c r="O10" s="6">
        <v>9.2810000000000006</v>
      </c>
      <c r="P10" s="6">
        <v>9.2810000000000006</v>
      </c>
      <c r="Q10" s="10">
        <v>9.42</v>
      </c>
      <c r="R10" s="10">
        <f t="shared" si="1"/>
        <v>1.7999999999999998</v>
      </c>
      <c r="S10" s="10">
        <f t="shared" si="3"/>
        <v>1.5884705150147815</v>
      </c>
      <c r="T10" s="34">
        <f t="shared" si="2"/>
        <v>122.74544888750584</v>
      </c>
      <c r="U10" s="10">
        <f t="shared" si="4"/>
        <v>1.6942352575073907</v>
      </c>
      <c r="V10" s="10">
        <f t="shared" si="5"/>
        <v>0.21152948498521829</v>
      </c>
      <c r="W10">
        <f t="shared" si="6"/>
        <v>0.31729422747782743</v>
      </c>
      <c r="X10">
        <f t="shared" si="0"/>
        <v>3.2834016618360282</v>
      </c>
      <c r="Y10" s="15">
        <f t="shared" si="7"/>
        <v>98.361210518126512</v>
      </c>
      <c r="Z10" s="18">
        <f t="shared" si="8"/>
        <v>24.590302629531628</v>
      </c>
    </row>
    <row r="11" spans="1:26" ht="16.5" customHeight="1" x14ac:dyDescent="0.2">
      <c r="A11" s="2" t="s">
        <v>92</v>
      </c>
      <c r="B11" s="4">
        <v>39.17</v>
      </c>
      <c r="C11" s="4">
        <v>38.700000000000003</v>
      </c>
      <c r="D11" s="4">
        <v>38.24</v>
      </c>
      <c r="E11" s="1" t="s">
        <v>93</v>
      </c>
      <c r="F11" s="1" t="s">
        <v>89</v>
      </c>
      <c r="N11" s="5">
        <v>28</v>
      </c>
      <c r="O11" s="6">
        <v>8.9450000000000003</v>
      </c>
      <c r="P11" s="6">
        <v>8.9450000000000003</v>
      </c>
      <c r="Q11" s="10">
        <v>9.16</v>
      </c>
      <c r="R11" s="10">
        <f t="shared" si="1"/>
        <v>1.7999999999999998</v>
      </c>
      <c r="S11" s="10">
        <f t="shared" si="3"/>
        <v>1.5581155977830561</v>
      </c>
      <c r="T11" s="34">
        <f t="shared" si="2"/>
        <v>120.39984164687252</v>
      </c>
      <c r="U11" s="10">
        <f t="shared" si="4"/>
        <v>1.6790577988915278</v>
      </c>
      <c r="V11" s="10">
        <f t="shared" si="5"/>
        <v>0.24188440221694374</v>
      </c>
      <c r="W11">
        <f t="shared" si="6"/>
        <v>0.36282660332541561</v>
      </c>
      <c r="X11">
        <f t="shared" si="0"/>
        <v>3.2539879823479221</v>
      </c>
      <c r="Y11" s="15">
        <f t="shared" si="7"/>
        <v>112.47624703087885</v>
      </c>
      <c r="Z11" s="18">
        <f t="shared" si="8"/>
        <v>28.119061757719713</v>
      </c>
    </row>
    <row r="12" spans="1:26" ht="16.5" customHeight="1" x14ac:dyDescent="0.2">
      <c r="A12" s="2" t="s">
        <v>94</v>
      </c>
      <c r="B12" s="4">
        <v>37.43</v>
      </c>
      <c r="C12" s="4">
        <v>37</v>
      </c>
      <c r="D12" s="4">
        <v>36.57</v>
      </c>
      <c r="E12" s="1" t="s">
        <v>93</v>
      </c>
      <c r="F12" s="1" t="s">
        <v>95</v>
      </c>
      <c r="N12" s="5">
        <v>29</v>
      </c>
      <c r="O12" s="6">
        <v>8.6229999999999993</v>
      </c>
      <c r="P12" s="6">
        <v>8.6229999999999993</v>
      </c>
      <c r="Q12" s="10">
        <v>8.9</v>
      </c>
      <c r="R12" s="10">
        <f t="shared" si="1"/>
        <v>1.7999999999999998</v>
      </c>
      <c r="S12" s="10">
        <f t="shared" si="3"/>
        <v>1.5279976373301831</v>
      </c>
      <c r="T12" s="34">
        <f t="shared" si="2"/>
        <v>118.07254470278689</v>
      </c>
      <c r="U12" s="10">
        <f t="shared" si="4"/>
        <v>1.6639988186650916</v>
      </c>
      <c r="V12" s="10">
        <f t="shared" si="5"/>
        <v>0.2720023626698167</v>
      </c>
      <c r="W12">
        <f t="shared" si="6"/>
        <v>0.40800354400472505</v>
      </c>
      <c r="X12">
        <f t="shared" si="0"/>
        <v>3.2248039121416503</v>
      </c>
      <c r="Y12" s="15">
        <f t="shared" si="7"/>
        <v>126.48109864146477</v>
      </c>
      <c r="Z12" s="18">
        <f t="shared" si="8"/>
        <v>31.620274660366192</v>
      </c>
    </row>
    <row r="13" spans="1:26" ht="16.5" customHeight="1" x14ac:dyDescent="0.2">
      <c r="A13" s="2" t="s">
        <v>96</v>
      </c>
      <c r="B13" s="4">
        <v>35.79</v>
      </c>
      <c r="C13" s="4">
        <v>35.380000000000003</v>
      </c>
      <c r="D13" s="4">
        <v>34.979999999999997</v>
      </c>
      <c r="E13" s="1" t="s">
        <v>93</v>
      </c>
      <c r="F13" s="1" t="s">
        <v>95</v>
      </c>
      <c r="N13" s="5">
        <v>30</v>
      </c>
      <c r="O13" s="6">
        <v>8.3140000000000001</v>
      </c>
      <c r="P13" s="6">
        <v>8.3140000000000001</v>
      </c>
      <c r="Q13" s="10">
        <v>8.64</v>
      </c>
      <c r="R13" s="10">
        <f t="shared" si="1"/>
        <v>1.7999999999999998</v>
      </c>
      <c r="S13" s="10">
        <f t="shared" si="3"/>
        <v>1.4980998143496778</v>
      </c>
      <c r="T13" s="34">
        <f t="shared" si="2"/>
        <v>115.76225838156603</v>
      </c>
      <c r="U13" s="10">
        <f t="shared" si="4"/>
        <v>1.6490499071748388</v>
      </c>
      <c r="V13" s="10">
        <f t="shared" si="5"/>
        <v>0.30190018565032206</v>
      </c>
      <c r="W13">
        <f t="shared" si="6"/>
        <v>0.45285027847548309</v>
      </c>
      <c r="X13">
        <f t="shared" si="0"/>
        <v>3.1958331534396098</v>
      </c>
      <c r="Y13" s="15">
        <f t="shared" si="7"/>
        <v>140.38358632739977</v>
      </c>
      <c r="Z13" s="18">
        <f t="shared" si="8"/>
        <v>35.095896581849942</v>
      </c>
    </row>
    <row r="14" spans="1:26" ht="16.5" customHeight="1" x14ac:dyDescent="0.2">
      <c r="A14" s="2" t="s">
        <v>97</v>
      </c>
      <c r="B14" s="4">
        <v>34.229999999999997</v>
      </c>
      <c r="C14" s="4">
        <v>33.85</v>
      </c>
      <c r="D14" s="4">
        <v>33.47</v>
      </c>
      <c r="E14" s="1" t="s">
        <v>93</v>
      </c>
      <c r="F14" s="1" t="s">
        <v>95</v>
      </c>
      <c r="N14" s="5">
        <v>31</v>
      </c>
      <c r="O14" s="6">
        <v>8.016</v>
      </c>
      <c r="P14" s="6">
        <v>8.016</v>
      </c>
      <c r="Q14" s="10">
        <v>8.3800000000000008</v>
      </c>
      <c r="R14" s="10">
        <f t="shared" si="1"/>
        <v>1.7999999999999998</v>
      </c>
      <c r="S14" s="10">
        <f t="shared" si="3"/>
        <v>1.4682948490230907</v>
      </c>
      <c r="T14" s="34">
        <f t="shared" si="2"/>
        <v>113.45914742451156</v>
      </c>
      <c r="U14" s="10">
        <f t="shared" si="4"/>
        <v>1.6341474245115453</v>
      </c>
      <c r="V14" s="10">
        <f t="shared" si="5"/>
        <v>0.33170515097690911</v>
      </c>
      <c r="W14">
        <f t="shared" si="6"/>
        <v>0.49755772646536367</v>
      </c>
      <c r="X14">
        <f t="shared" si="0"/>
        <v>3.1669523730843898</v>
      </c>
      <c r="Y14" s="15">
        <f t="shared" si="7"/>
        <v>154.24289520426274</v>
      </c>
      <c r="Z14" s="18">
        <f t="shared" si="8"/>
        <v>38.560723801065684</v>
      </c>
    </row>
    <row r="15" spans="1:26" ht="16.5" customHeight="1" x14ac:dyDescent="0.2">
      <c r="A15" s="2" t="s">
        <v>98</v>
      </c>
      <c r="B15" s="4">
        <v>32.75</v>
      </c>
      <c r="C15" s="4">
        <v>32.39</v>
      </c>
      <c r="D15" s="4">
        <v>32.03</v>
      </c>
      <c r="E15" s="1" t="s">
        <v>99</v>
      </c>
      <c r="F15" s="1" t="s">
        <v>100</v>
      </c>
      <c r="N15" s="5">
        <v>32</v>
      </c>
      <c r="O15" s="6">
        <v>7.73</v>
      </c>
      <c r="P15" s="6">
        <v>7.73</v>
      </c>
      <c r="Q15" s="10">
        <v>8.1199999999999992</v>
      </c>
      <c r="R15" s="10">
        <f t="shared" si="1"/>
        <v>1.7999999999999998</v>
      </c>
      <c r="S15" s="10">
        <f t="shared" si="3"/>
        <v>1.4387478849407784</v>
      </c>
      <c r="T15" s="34">
        <f t="shared" si="2"/>
        <v>111.17597292724197</v>
      </c>
      <c r="U15" s="10">
        <f t="shared" si="4"/>
        <v>1.6193739424703892</v>
      </c>
      <c r="V15" s="10">
        <f t="shared" si="5"/>
        <v>0.36125211505922139</v>
      </c>
      <c r="W15">
        <f t="shared" si="6"/>
        <v>0.54187817258883209</v>
      </c>
      <c r="X15">
        <f t="shared" si="0"/>
        <v>3.138321593934863</v>
      </c>
      <c r="Y15" s="15">
        <f t="shared" si="7"/>
        <v>167.98223350253795</v>
      </c>
      <c r="Z15" s="18">
        <f t="shared" si="8"/>
        <v>41.995558375634488</v>
      </c>
    </row>
    <row r="16" spans="1:26" ht="16.5" customHeight="1" x14ac:dyDescent="0.2">
      <c r="A16" s="2" t="s">
        <v>101</v>
      </c>
      <c r="B16" s="4">
        <v>31.34</v>
      </c>
      <c r="C16" s="4">
        <v>31</v>
      </c>
      <c r="D16" s="4">
        <v>30.67</v>
      </c>
      <c r="E16" s="1" t="s">
        <v>99</v>
      </c>
      <c r="F16" s="1" t="s">
        <v>100</v>
      </c>
      <c r="N16" s="5">
        <v>33</v>
      </c>
      <c r="O16" s="6">
        <v>7.4560000000000004</v>
      </c>
      <c r="P16" s="6">
        <v>7.4560000000000004</v>
      </c>
      <c r="Q16" s="10">
        <v>7.86</v>
      </c>
      <c r="R16" s="10">
        <f t="shared" si="1"/>
        <v>1.7999999999999998</v>
      </c>
      <c r="S16" s="10">
        <f t="shared" si="3"/>
        <v>1.4095325389550872</v>
      </c>
      <c r="T16" s="34">
        <f t="shared" si="2"/>
        <v>108.9184234647113</v>
      </c>
      <c r="U16" s="10">
        <f t="shared" si="4"/>
        <v>1.6047662694775435</v>
      </c>
      <c r="V16" s="10">
        <f t="shared" si="5"/>
        <v>0.39046746104491259</v>
      </c>
      <c r="W16">
        <f t="shared" si="6"/>
        <v>0.58570119156736888</v>
      </c>
      <c r="X16">
        <f>U16/0.516</f>
        <v>3.1100121501502782</v>
      </c>
      <c r="Y16" s="15">
        <f>W16/3.3*1023</f>
        <v>181.56736938588435</v>
      </c>
      <c r="Z16" s="18">
        <f t="shared" si="8"/>
        <v>45.391842346471087</v>
      </c>
    </row>
    <row r="17" spans="1:26" ht="16.5" customHeight="1" x14ac:dyDescent="0.2">
      <c r="A17" s="2" t="s">
        <v>102</v>
      </c>
      <c r="B17" s="4">
        <v>30</v>
      </c>
      <c r="C17" s="4">
        <v>29.69</v>
      </c>
      <c r="D17" s="4">
        <v>29.37</v>
      </c>
      <c r="E17" s="1" t="s">
        <v>99</v>
      </c>
      <c r="F17" s="1" t="s">
        <v>100</v>
      </c>
      <c r="N17" s="5">
        <v>34</v>
      </c>
      <c r="O17" s="6">
        <v>7.1929999999999996</v>
      </c>
      <c r="P17" s="6">
        <v>7.1929999999999996</v>
      </c>
      <c r="Q17" s="10">
        <v>7.61</v>
      </c>
      <c r="R17" s="10">
        <f t="shared" si="1"/>
        <v>1.7999999999999998</v>
      </c>
      <c r="S17" s="10">
        <f t="shared" si="3"/>
        <v>1.3806142034548945</v>
      </c>
      <c r="T17" s="34">
        <f t="shared" si="2"/>
        <v>106.68382481242368</v>
      </c>
      <c r="U17" s="10">
        <f t="shared" si="4"/>
        <v>1.590307101727447</v>
      </c>
      <c r="V17" s="10">
        <f t="shared" si="5"/>
        <v>0.41938579654510533</v>
      </c>
      <c r="W17">
        <f t="shared" si="6"/>
        <v>0.62907869481765799</v>
      </c>
      <c r="X17">
        <f>U17/0.516</f>
        <v>3.0819905072237344</v>
      </c>
      <c r="Y17" s="15">
        <f t="shared" si="7"/>
        <v>195.01439539347399</v>
      </c>
      <c r="Z17" s="18">
        <f t="shared" si="8"/>
        <v>48.753598848368497</v>
      </c>
    </row>
    <row r="18" spans="1:26" ht="16.5" customHeight="1" x14ac:dyDescent="0.2">
      <c r="A18" s="2" t="s">
        <v>103</v>
      </c>
      <c r="B18" s="4">
        <v>28.73</v>
      </c>
      <c r="C18" s="4">
        <v>28.44</v>
      </c>
      <c r="D18" s="4">
        <v>28.14</v>
      </c>
      <c r="E18" s="1" t="s">
        <v>104</v>
      </c>
      <c r="F18" s="1" t="s">
        <v>105</v>
      </c>
      <c r="N18" s="5">
        <v>35</v>
      </c>
      <c r="O18" s="6">
        <v>6.9409999999999998</v>
      </c>
      <c r="P18" s="6">
        <v>6.9409999999999998</v>
      </c>
      <c r="Q18" s="10">
        <v>7.35</v>
      </c>
      <c r="R18" s="10">
        <f t="shared" si="1"/>
        <v>1.7999999999999998</v>
      </c>
      <c r="S18" s="10">
        <f t="shared" si="3"/>
        <v>1.3520630423233575</v>
      </c>
      <c r="T18" s="34">
        <f t="shared" si="2"/>
        <v>104.47759872498672</v>
      </c>
      <c r="U18" s="10">
        <f t="shared" si="4"/>
        <v>1.5760315211616787</v>
      </c>
      <c r="V18" s="10">
        <f t="shared" si="5"/>
        <v>0.44793695767664232</v>
      </c>
      <c r="W18">
        <f t="shared" si="6"/>
        <v>0.67190543651496348</v>
      </c>
      <c r="X18">
        <f t="shared" ref="X18:X62" si="9">U18/0.516</f>
        <v>3.0543246534141058</v>
      </c>
      <c r="Y18" s="15">
        <f>W18/3.3*1023</f>
        <v>208.2906853196387</v>
      </c>
      <c r="Z18" s="18">
        <f t="shared" si="8"/>
        <v>52.072671329909674</v>
      </c>
    </row>
    <row r="19" spans="1:26" ht="16.5" customHeight="1" x14ac:dyDescent="0.2">
      <c r="A19" s="5">
        <v>0</v>
      </c>
      <c r="B19" s="4">
        <v>27.52</v>
      </c>
      <c r="C19" s="4">
        <v>27.25</v>
      </c>
      <c r="D19" s="4">
        <v>26.97</v>
      </c>
      <c r="E19" s="1" t="s">
        <v>104</v>
      </c>
      <c r="F19" s="1" t="s">
        <v>105</v>
      </c>
      <c r="N19" s="5">
        <v>36</v>
      </c>
      <c r="O19" s="6">
        <v>6.7</v>
      </c>
      <c r="P19" s="6">
        <v>6.7</v>
      </c>
      <c r="Q19" s="10">
        <v>7.09</v>
      </c>
      <c r="R19" s="10">
        <f t="shared" si="1"/>
        <v>1.7999999999999998</v>
      </c>
      <c r="S19" s="10">
        <f t="shared" si="3"/>
        <v>1.3239520958083832</v>
      </c>
      <c r="T19" s="34">
        <f t="shared" si="2"/>
        <v>102.30538922155688</v>
      </c>
      <c r="U19" s="10">
        <f t="shared" si="4"/>
        <v>1.5619760479041915</v>
      </c>
      <c r="V19" s="10">
        <f t="shared" si="5"/>
        <v>0.47604790419161658</v>
      </c>
      <c r="W19">
        <f t="shared" si="6"/>
        <v>0.71407185628742487</v>
      </c>
      <c r="X19">
        <f t="shared" si="9"/>
        <v>3.0270853641554099</v>
      </c>
      <c r="Y19" s="15">
        <f t="shared" si="7"/>
        <v>221.3622754491017</v>
      </c>
      <c r="Z19" s="18">
        <f t="shared" si="8"/>
        <v>55.340568862275425</v>
      </c>
    </row>
    <row r="20" spans="1:26" ht="16.5" customHeight="1" x14ac:dyDescent="0.2">
      <c r="A20" s="5">
        <v>1</v>
      </c>
      <c r="B20" s="4">
        <v>26.36</v>
      </c>
      <c r="C20" s="4">
        <v>26.1</v>
      </c>
      <c r="D20" s="4">
        <v>25.84</v>
      </c>
      <c r="E20" s="1" t="s">
        <v>106</v>
      </c>
      <c r="F20" s="1" t="s">
        <v>107</v>
      </c>
      <c r="N20" s="5">
        <v>37</v>
      </c>
      <c r="O20" s="6">
        <v>6.468</v>
      </c>
      <c r="P20" s="6">
        <v>6.468</v>
      </c>
      <c r="Q20" s="10">
        <v>6.83</v>
      </c>
      <c r="R20" s="10">
        <f t="shared" si="1"/>
        <v>1.7999999999999998</v>
      </c>
      <c r="S20" s="10">
        <f t="shared" si="3"/>
        <v>1.2961136750060724</v>
      </c>
      <c r="T20" s="34">
        <f t="shared" si="2"/>
        <v>100.15423852319651</v>
      </c>
      <c r="U20" s="10">
        <f t="shared" si="4"/>
        <v>1.5480568375030361</v>
      </c>
      <c r="V20" s="10">
        <f t="shared" si="5"/>
        <v>0.50388632499392738</v>
      </c>
      <c r="W20">
        <f t="shared" si="6"/>
        <v>0.75582948749089107</v>
      </c>
      <c r="X20">
        <f t="shared" si="9"/>
        <v>3.0001101501996823</v>
      </c>
      <c r="Y20" s="15">
        <f t="shared" si="7"/>
        <v>234.30714112217626</v>
      </c>
      <c r="Z20" s="18">
        <f t="shared" si="8"/>
        <v>58.576785280544065</v>
      </c>
    </row>
    <row r="21" spans="1:26" ht="16.5" customHeight="1" x14ac:dyDescent="0.2">
      <c r="A21" s="5">
        <v>2</v>
      </c>
      <c r="B21" s="4">
        <v>25.25</v>
      </c>
      <c r="C21" s="4">
        <v>25</v>
      </c>
      <c r="D21" s="4">
        <v>24.76</v>
      </c>
      <c r="E21" s="1" t="s">
        <v>106</v>
      </c>
      <c r="F21" s="1" t="s">
        <v>107</v>
      </c>
      <c r="N21" s="5">
        <v>38</v>
      </c>
      <c r="O21" s="6">
        <v>6.2460000000000004</v>
      </c>
      <c r="P21" s="6">
        <v>6.2460000000000004</v>
      </c>
      <c r="Q21" s="10">
        <v>6.57</v>
      </c>
      <c r="R21" s="10">
        <f t="shared" si="1"/>
        <v>1.7999999999999998</v>
      </c>
      <c r="S21" s="10">
        <f t="shared" si="3"/>
        <v>1.2687307644958756</v>
      </c>
      <c r="T21" s="34">
        <f t="shared" si="2"/>
        <v>98.038286347408572</v>
      </c>
      <c r="U21" s="10">
        <f t="shared" si="4"/>
        <v>1.5343653822479377</v>
      </c>
      <c r="V21" s="10">
        <f t="shared" si="5"/>
        <v>0.53126923550412419</v>
      </c>
      <c r="W21">
        <f t="shared" si="6"/>
        <v>0.79690385325618629</v>
      </c>
      <c r="X21">
        <f t="shared" si="9"/>
        <v>2.9735763221859259</v>
      </c>
      <c r="Y21" s="15">
        <f t="shared" si="7"/>
        <v>247.04019450941777</v>
      </c>
      <c r="Z21" s="18">
        <f t="shared" si="8"/>
        <v>61.760048627354443</v>
      </c>
    </row>
    <row r="22" spans="1:26" ht="16.5" customHeight="1" x14ac:dyDescent="0.2">
      <c r="A22" s="5">
        <v>3</v>
      </c>
      <c r="B22" s="4">
        <v>24.19</v>
      </c>
      <c r="C22" s="4">
        <v>23.96</v>
      </c>
      <c r="D22" s="4">
        <v>23.73</v>
      </c>
      <c r="E22" s="1" t="s">
        <v>106</v>
      </c>
      <c r="F22" s="1" t="s">
        <v>107</v>
      </c>
      <c r="N22" s="5">
        <v>39</v>
      </c>
      <c r="O22" s="6">
        <v>6.0330000000000004</v>
      </c>
      <c r="P22" s="6">
        <v>6.0330000000000004</v>
      </c>
      <c r="Q22" s="10">
        <v>6.31</v>
      </c>
      <c r="R22" s="10">
        <f t="shared" si="1"/>
        <v>1.7999999999999998</v>
      </c>
      <c r="S22" s="10">
        <f t="shared" si="3"/>
        <v>1.241745150626832</v>
      </c>
      <c r="T22" s="34">
        <f t="shared" si="2"/>
        <v>95.953034366618851</v>
      </c>
      <c r="U22" s="10">
        <f t="shared" si="4"/>
        <v>1.5208725753134158</v>
      </c>
      <c r="V22" s="10">
        <f t="shared" si="5"/>
        <v>0.55825484937316783</v>
      </c>
      <c r="W22">
        <f t="shared" si="6"/>
        <v>0.83738227405975174</v>
      </c>
      <c r="X22">
        <f>U22/0.516</f>
        <v>2.9474274715376274</v>
      </c>
      <c r="Y22" s="15">
        <f t="shared" si="7"/>
        <v>259.58850495852306</v>
      </c>
      <c r="Z22" s="18">
        <f t="shared" si="8"/>
        <v>64.897126239630765</v>
      </c>
    </row>
    <row r="23" spans="1:26" ht="16.5" customHeight="1" x14ac:dyDescent="0.2">
      <c r="A23" s="5">
        <v>4</v>
      </c>
      <c r="B23" s="4">
        <v>23.19</v>
      </c>
      <c r="C23" s="4">
        <v>22.97</v>
      </c>
      <c r="D23" s="4">
        <v>22.76</v>
      </c>
      <c r="E23" s="1" t="s">
        <v>108</v>
      </c>
      <c r="F23" s="1" t="s">
        <v>109</v>
      </c>
      <c r="N23" s="5">
        <v>40</v>
      </c>
      <c r="O23" s="6">
        <v>5.8289999999999997</v>
      </c>
      <c r="P23" s="6">
        <v>5.8289999999999997</v>
      </c>
      <c r="Q23" s="10">
        <v>6.05</v>
      </c>
      <c r="R23" s="10">
        <f t="shared" si="1"/>
        <v>1.7999999999999998</v>
      </c>
      <c r="S23" s="10">
        <f t="shared" si="3"/>
        <v>1.2152189020152881</v>
      </c>
      <c r="T23" s="34">
        <f t="shared" si="2"/>
        <v>93.903278792090461</v>
      </c>
      <c r="U23" s="10">
        <f t="shared" si="4"/>
        <v>1.5076094510076441</v>
      </c>
      <c r="V23" s="10">
        <f t="shared" si="5"/>
        <v>0.58478109798471167</v>
      </c>
      <c r="W23">
        <f t="shared" si="6"/>
        <v>0.87717164697706751</v>
      </c>
      <c r="X23">
        <f t="shared" si="9"/>
        <v>2.9217237422628761</v>
      </c>
      <c r="Y23" s="15">
        <f>W23/3.3*1023</f>
        <v>271.92321056289092</v>
      </c>
      <c r="Z23" s="18">
        <f t="shared" si="8"/>
        <v>67.980802640722729</v>
      </c>
    </row>
    <row r="24" spans="1:26" ht="16.5" customHeight="1" x14ac:dyDescent="0.2">
      <c r="A24" s="5">
        <v>5</v>
      </c>
      <c r="B24" s="4">
        <v>22.23</v>
      </c>
      <c r="C24" s="4">
        <v>22.03</v>
      </c>
      <c r="D24" s="4">
        <v>21.83</v>
      </c>
      <c r="E24" s="1" t="s">
        <v>108</v>
      </c>
      <c r="F24" s="1" t="s">
        <v>109</v>
      </c>
      <c r="N24" s="5">
        <v>41</v>
      </c>
      <c r="O24" s="6">
        <v>5.63</v>
      </c>
      <c r="P24" s="6">
        <v>5.63</v>
      </c>
      <c r="Q24" s="10">
        <v>5.79</v>
      </c>
      <c r="R24" s="10">
        <f t="shared" si="1"/>
        <v>1.7999999999999998</v>
      </c>
      <c r="S24" s="10">
        <f t="shared" si="3"/>
        <v>1.1886756238003837</v>
      </c>
      <c r="T24" s="34">
        <f t="shared" si="2"/>
        <v>91.852207293666012</v>
      </c>
      <c r="U24" s="10">
        <f t="shared" si="4"/>
        <v>1.4943378119001918</v>
      </c>
      <c r="V24" s="10">
        <f t="shared" si="5"/>
        <v>0.6113243761996161</v>
      </c>
      <c r="W24">
        <f t="shared" si="6"/>
        <v>0.91698656429942416</v>
      </c>
      <c r="X24">
        <f t="shared" si="9"/>
        <v>2.89600351143448</v>
      </c>
      <c r="Y24" s="15">
        <f t="shared" si="7"/>
        <v>284.26583493282146</v>
      </c>
      <c r="Z24" s="18">
        <f t="shared" si="8"/>
        <v>71.066458733205366</v>
      </c>
    </row>
    <row r="25" spans="1:26" ht="16.5" customHeight="1" x14ac:dyDescent="0.2">
      <c r="A25" s="5">
        <v>6</v>
      </c>
      <c r="B25" s="4">
        <v>21.32</v>
      </c>
      <c r="C25" s="4">
        <v>21.13</v>
      </c>
      <c r="D25" s="4">
        <v>20.94</v>
      </c>
      <c r="E25" s="1" t="s">
        <v>108</v>
      </c>
      <c r="F25" s="1" t="s">
        <v>109</v>
      </c>
      <c r="N25" s="5">
        <v>42</v>
      </c>
      <c r="O25" s="6">
        <v>5.44</v>
      </c>
      <c r="P25" s="6">
        <v>5.44</v>
      </c>
      <c r="Q25" s="10">
        <v>5.54</v>
      </c>
      <c r="R25" s="10">
        <f t="shared" si="1"/>
        <v>1.7999999999999998</v>
      </c>
      <c r="S25" s="10">
        <f t="shared" si="3"/>
        <v>1.1626943005181347</v>
      </c>
      <c r="T25" s="34">
        <f t="shared" si="2"/>
        <v>89.844559585492235</v>
      </c>
      <c r="U25" s="10">
        <f t="shared" si="4"/>
        <v>1.4813471502590674</v>
      </c>
      <c r="V25" s="10">
        <f t="shared" si="5"/>
        <v>0.63730569948186511</v>
      </c>
      <c r="W25">
        <f t="shared" si="6"/>
        <v>0.95595854922279766</v>
      </c>
      <c r="X25">
        <f t="shared" si="9"/>
        <v>2.8708278105795877</v>
      </c>
      <c r="Y25" s="15">
        <f t="shared" si="7"/>
        <v>296.34715025906729</v>
      </c>
      <c r="Z25" s="18">
        <f t="shared" si="8"/>
        <v>74.086787564766823</v>
      </c>
    </row>
    <row r="26" spans="1:26" ht="16.5" customHeight="1" x14ac:dyDescent="0.2">
      <c r="A26" s="5">
        <v>7</v>
      </c>
      <c r="B26" s="4">
        <v>20.46</v>
      </c>
      <c r="C26" s="4">
        <v>20.28</v>
      </c>
      <c r="D26" s="4">
        <v>20.100000000000001</v>
      </c>
      <c r="E26" s="1" t="s">
        <v>110</v>
      </c>
      <c r="F26" s="1" t="s">
        <v>111</v>
      </c>
      <c r="N26" s="5">
        <v>43</v>
      </c>
      <c r="O26" s="6">
        <v>5.2569999999999997</v>
      </c>
      <c r="P26" s="6">
        <v>5.2569999999999997</v>
      </c>
      <c r="Q26" s="10">
        <v>5.28</v>
      </c>
      <c r="R26" s="10">
        <f t="shared" si="1"/>
        <v>1.7999999999999998</v>
      </c>
      <c r="S26" s="10">
        <f t="shared" si="3"/>
        <v>1.1370583994232155</v>
      </c>
      <c r="T26" s="34">
        <f t="shared" si="2"/>
        <v>87.863603591793932</v>
      </c>
      <c r="U26" s="10">
        <f t="shared" si="4"/>
        <v>1.4685291997116077</v>
      </c>
      <c r="V26" s="10">
        <f t="shared" si="5"/>
        <v>0.66294160057678431</v>
      </c>
      <c r="W26">
        <f t="shared" si="6"/>
        <v>0.99441240086517646</v>
      </c>
      <c r="X26">
        <f t="shared" si="9"/>
        <v>2.8459868211465262</v>
      </c>
      <c r="Y26" s="15">
        <f t="shared" si="7"/>
        <v>308.26784426820473</v>
      </c>
      <c r="Z26" s="18">
        <f t="shared" si="8"/>
        <v>77.066961067051182</v>
      </c>
    </row>
    <row r="27" spans="1:26" ht="16.5" customHeight="1" x14ac:dyDescent="0.2">
      <c r="A27" s="5">
        <v>8</v>
      </c>
      <c r="B27" s="4">
        <v>19.63</v>
      </c>
      <c r="C27" s="4">
        <v>19.46</v>
      </c>
      <c r="D27" s="4">
        <v>19.3</v>
      </c>
      <c r="E27" s="1" t="s">
        <v>110</v>
      </c>
      <c r="F27" s="1" t="s">
        <v>111</v>
      </c>
      <c r="N27" s="5">
        <v>44</v>
      </c>
      <c r="O27" s="6">
        <v>5.0810000000000004</v>
      </c>
      <c r="P27" s="6">
        <v>5.0810000000000004</v>
      </c>
      <c r="Q27" s="10">
        <v>5.0199999999999996</v>
      </c>
      <c r="R27" s="10">
        <f t="shared" si="1"/>
        <v>1.7999999999999998</v>
      </c>
      <c r="S27" s="10">
        <f t="shared" si="3"/>
        <v>1.1118161925601751</v>
      </c>
      <c r="T27" s="34">
        <f t="shared" si="2"/>
        <v>85.913069425104439</v>
      </c>
      <c r="U27" s="10">
        <f t="shared" si="4"/>
        <v>1.4559080962800874</v>
      </c>
      <c r="V27" s="10">
        <f t="shared" si="5"/>
        <v>0.68818380743982477</v>
      </c>
      <c r="W27">
        <f t="shared" si="6"/>
        <v>1.0322757111597372</v>
      </c>
      <c r="X27">
        <f t="shared" si="9"/>
        <v>2.8215273183722624</v>
      </c>
      <c r="Y27" s="15">
        <f t="shared" si="7"/>
        <v>320.00547045951851</v>
      </c>
      <c r="Z27" s="18">
        <f t="shared" si="8"/>
        <v>80.001367614879626</v>
      </c>
    </row>
    <row r="28" spans="1:26" ht="16.5" customHeight="1" x14ac:dyDescent="0.2">
      <c r="A28" s="5">
        <v>9</v>
      </c>
      <c r="B28" s="4">
        <v>18.850000000000001</v>
      </c>
      <c r="C28" s="4">
        <v>18.690000000000001</v>
      </c>
      <c r="D28" s="4">
        <v>18.53</v>
      </c>
      <c r="E28" s="1" t="s">
        <v>112</v>
      </c>
      <c r="F28" s="1" t="s">
        <v>111</v>
      </c>
      <c r="N28" s="5">
        <v>45</v>
      </c>
      <c r="O28" s="6">
        <v>4.9119999999999999</v>
      </c>
      <c r="P28" s="6">
        <v>4.9119999999999999</v>
      </c>
      <c r="Q28" s="10">
        <v>4.76</v>
      </c>
      <c r="R28" s="10">
        <f t="shared" si="1"/>
        <v>1.7999999999999998</v>
      </c>
      <c r="S28" s="10">
        <f t="shared" si="3"/>
        <v>1.0870171673819742</v>
      </c>
      <c r="T28" s="34">
        <f t="shared" si="2"/>
        <v>83.996781115879827</v>
      </c>
      <c r="U28" s="10">
        <f t="shared" si="4"/>
        <v>1.4435085836909871</v>
      </c>
      <c r="V28" s="10">
        <f t="shared" si="5"/>
        <v>0.71298283261802564</v>
      </c>
      <c r="W28">
        <f t="shared" si="6"/>
        <v>1.0694742489270386</v>
      </c>
      <c r="X28">
        <f t="shared" si="9"/>
        <v>2.7974972552150912</v>
      </c>
      <c r="Y28" s="15">
        <f t="shared" si="7"/>
        <v>331.53701716738198</v>
      </c>
      <c r="Z28" s="18">
        <f t="shared" si="8"/>
        <v>82.884254291845494</v>
      </c>
    </row>
    <row r="29" spans="1:26" ht="16.5" customHeight="1" x14ac:dyDescent="0.2">
      <c r="A29" s="5">
        <v>10</v>
      </c>
      <c r="B29" s="4">
        <v>18.100000000000001</v>
      </c>
      <c r="C29" s="4">
        <v>17.95</v>
      </c>
      <c r="D29" s="4">
        <v>17.8</v>
      </c>
      <c r="E29" s="1" t="s">
        <v>112</v>
      </c>
      <c r="F29" s="1" t="s">
        <v>113</v>
      </c>
      <c r="N29" s="5">
        <v>46</v>
      </c>
      <c r="O29" s="6">
        <v>4.75</v>
      </c>
      <c r="P29" s="6">
        <v>4.75</v>
      </c>
      <c r="Q29" s="10">
        <v>4.5</v>
      </c>
      <c r="R29" s="10">
        <f t="shared" si="1"/>
        <v>1.7999999999999998</v>
      </c>
      <c r="S29" s="10">
        <f t="shared" si="3"/>
        <v>1.0627118644067797</v>
      </c>
      <c r="T29" s="34">
        <f t="shared" si="2"/>
        <v>82.118644067796623</v>
      </c>
      <c r="U29" s="10">
        <f t="shared" si="4"/>
        <v>1.4313559322033897</v>
      </c>
      <c r="V29" s="10">
        <f t="shared" si="5"/>
        <v>0.73728813559322015</v>
      </c>
      <c r="W29">
        <f t="shared" si="6"/>
        <v>1.1059322033898302</v>
      </c>
      <c r="X29">
        <f t="shared" si="9"/>
        <v>2.7739456050453288</v>
      </c>
      <c r="Y29" s="15">
        <f t="shared" si="7"/>
        <v>342.83898305084739</v>
      </c>
      <c r="Z29" s="18">
        <f t="shared" si="8"/>
        <v>85.709745762711847</v>
      </c>
    </row>
    <row r="30" spans="1:26" ht="16.5" customHeight="1" x14ac:dyDescent="0.2">
      <c r="A30" s="5">
        <v>11</v>
      </c>
      <c r="B30" s="4">
        <v>17.37</v>
      </c>
      <c r="C30" s="4">
        <v>17.23</v>
      </c>
      <c r="D30" s="4">
        <v>17.09</v>
      </c>
      <c r="E30" s="1" t="s">
        <v>114</v>
      </c>
      <c r="F30" s="1" t="s">
        <v>113</v>
      </c>
      <c r="N30" s="5">
        <v>47</v>
      </c>
      <c r="O30" s="6">
        <v>4.5940000000000003</v>
      </c>
      <c r="P30" s="6">
        <v>4.5940000000000003</v>
      </c>
      <c r="Q30" s="10">
        <v>4.24</v>
      </c>
      <c r="R30" s="10">
        <f t="shared" si="1"/>
        <v>1.7999999999999998</v>
      </c>
      <c r="S30" s="10">
        <f t="shared" si="3"/>
        <v>1.0387967657941619</v>
      </c>
      <c r="T30" s="34">
        <f t="shared" si="2"/>
        <v>80.270659175003431</v>
      </c>
      <c r="U30" s="10">
        <f t="shared" si="4"/>
        <v>1.4193983828970809</v>
      </c>
      <c r="V30" s="10">
        <f t="shared" si="5"/>
        <v>0.76120323420583791</v>
      </c>
      <c r="W30">
        <f t="shared" si="6"/>
        <v>1.1418048513087569</v>
      </c>
      <c r="X30">
        <f t="shared" si="9"/>
        <v>2.7507720598780638</v>
      </c>
      <c r="Y30" s="15">
        <f t="shared" si="7"/>
        <v>353.95950390571466</v>
      </c>
      <c r="Z30" s="18">
        <f t="shared" si="8"/>
        <v>88.489875976428664</v>
      </c>
    </row>
    <row r="31" spans="1:26" ht="16.5" customHeight="1" x14ac:dyDescent="0.2">
      <c r="A31" s="5">
        <v>12</v>
      </c>
      <c r="B31" s="4">
        <v>16.68</v>
      </c>
      <c r="C31" s="4">
        <v>16.55</v>
      </c>
      <c r="D31" s="4">
        <v>16.420000000000002</v>
      </c>
      <c r="E31" s="1" t="s">
        <v>114</v>
      </c>
      <c r="F31" s="1" t="s">
        <v>115</v>
      </c>
      <c r="N31" s="5">
        <v>48</v>
      </c>
      <c r="O31" s="6">
        <v>4.444</v>
      </c>
      <c r="P31" s="6">
        <v>4.444</v>
      </c>
      <c r="Q31" s="10">
        <v>3.98</v>
      </c>
      <c r="R31" s="10">
        <f t="shared" si="1"/>
        <v>1.7999999999999998</v>
      </c>
      <c r="S31" s="10">
        <f t="shared" si="3"/>
        <v>1.0153143173636112</v>
      </c>
      <c r="T31" s="34">
        <f t="shared" si="2"/>
        <v>78.456106341733602</v>
      </c>
      <c r="U31" s="10">
        <f t="shared" si="4"/>
        <v>1.4076571586818054</v>
      </c>
      <c r="V31" s="10">
        <f t="shared" si="5"/>
        <v>0.7846856826363886</v>
      </c>
      <c r="W31">
        <f t="shared" si="6"/>
        <v>1.1770285239545828</v>
      </c>
      <c r="X31">
        <f t="shared" si="9"/>
        <v>2.7280177493833437</v>
      </c>
      <c r="Y31" s="15">
        <f t="shared" si="7"/>
        <v>364.87884242592065</v>
      </c>
      <c r="Z31" s="18">
        <f t="shared" si="8"/>
        <v>91.219710606480163</v>
      </c>
    </row>
    <row r="32" spans="1:26" ht="16.5" customHeight="1" x14ac:dyDescent="0.2">
      <c r="A32" s="5">
        <v>13</v>
      </c>
      <c r="B32" s="4">
        <v>16.02</v>
      </c>
      <c r="C32" s="4">
        <v>15.9</v>
      </c>
      <c r="D32" s="4">
        <v>15.77</v>
      </c>
      <c r="E32" s="1" t="s">
        <v>114</v>
      </c>
      <c r="F32" s="1" t="s">
        <v>115</v>
      </c>
      <c r="N32" s="5">
        <v>49</v>
      </c>
      <c r="O32" s="6">
        <v>4.3</v>
      </c>
      <c r="P32" s="6">
        <v>4.3</v>
      </c>
      <c r="Q32" s="10">
        <v>3.97</v>
      </c>
      <c r="R32" s="10">
        <f t="shared" si="1"/>
        <v>1.7999999999999998</v>
      </c>
      <c r="S32" s="10">
        <f t="shared" si="3"/>
        <v>0.99230769230769222</v>
      </c>
      <c r="T32" s="34">
        <f t="shared" si="2"/>
        <v>76.678321678321666</v>
      </c>
      <c r="U32" s="10">
        <f t="shared" si="4"/>
        <v>1.3961538461538461</v>
      </c>
      <c r="V32" s="10">
        <f t="shared" si="5"/>
        <v>0.8076923076923076</v>
      </c>
      <c r="W32">
        <f t="shared" si="6"/>
        <v>1.2115384615384615</v>
      </c>
      <c r="X32">
        <f t="shared" si="9"/>
        <v>2.7057245080500891</v>
      </c>
      <c r="Y32" s="15">
        <f t="shared" si="7"/>
        <v>375.57692307692309</v>
      </c>
      <c r="Z32" s="18">
        <f t="shared" si="8"/>
        <v>93.894230769230774</v>
      </c>
    </row>
    <row r="33" spans="1:26" ht="16.5" customHeight="1" x14ac:dyDescent="0.2">
      <c r="A33" s="5">
        <v>14</v>
      </c>
      <c r="B33" s="4">
        <v>15.39</v>
      </c>
      <c r="C33" s="4">
        <v>15.27</v>
      </c>
      <c r="D33" s="4">
        <v>15.16</v>
      </c>
      <c r="E33" s="1" t="s">
        <v>116</v>
      </c>
      <c r="F33" s="1" t="s">
        <v>117</v>
      </c>
      <c r="N33" s="5">
        <v>50</v>
      </c>
      <c r="O33" s="6">
        <v>4.1619999999999999</v>
      </c>
      <c r="P33" s="6">
        <v>4.1619999999999999</v>
      </c>
      <c r="Q33" s="10">
        <v>3.89</v>
      </c>
      <c r="R33" s="10">
        <f t="shared" si="1"/>
        <v>1.7999999999999998</v>
      </c>
      <c r="S33" s="10">
        <f t="shared" si="3"/>
        <v>0.9698206468012992</v>
      </c>
      <c r="T33" s="34">
        <f t="shared" si="2"/>
        <v>74.940686343736772</v>
      </c>
      <c r="U33" s="10">
        <f t="shared" si="4"/>
        <v>1.3849103234006495</v>
      </c>
      <c r="V33" s="10">
        <f t="shared" si="5"/>
        <v>0.83017935319870062</v>
      </c>
      <c r="W33">
        <f t="shared" si="6"/>
        <v>1.2452690297980509</v>
      </c>
      <c r="X33">
        <f t="shared" si="9"/>
        <v>2.6839347352725764</v>
      </c>
      <c r="Y33" s="15">
        <f t="shared" si="7"/>
        <v>386.03339923739583</v>
      </c>
      <c r="Z33" s="18">
        <f t="shared" si="8"/>
        <v>96.508349809348957</v>
      </c>
    </row>
    <row r="34" spans="1:26" ht="16.5" customHeight="1" x14ac:dyDescent="0.2">
      <c r="A34" s="5">
        <v>15</v>
      </c>
      <c r="B34" s="4">
        <v>14.79</v>
      </c>
      <c r="C34" s="4">
        <v>14.68</v>
      </c>
      <c r="D34" s="4">
        <v>14.57</v>
      </c>
      <c r="E34" s="1" t="s">
        <v>116</v>
      </c>
      <c r="F34" s="1" t="s">
        <v>117</v>
      </c>
      <c r="N34" s="5">
        <v>51</v>
      </c>
      <c r="O34" s="6">
        <v>4.0270000000000001</v>
      </c>
      <c r="P34" s="6">
        <v>4.0270000000000001</v>
      </c>
      <c r="Q34" s="10">
        <v>3.81</v>
      </c>
      <c r="R34" s="10">
        <f t="shared" si="1"/>
        <v>1.7999999999999998</v>
      </c>
      <c r="S34" s="10">
        <f t="shared" si="3"/>
        <v>0.94739431097169735</v>
      </c>
      <c r="T34" s="34">
        <f t="shared" si="2"/>
        <v>73.207742211449357</v>
      </c>
      <c r="U34" s="10">
        <f t="shared" si="4"/>
        <v>1.3736971554858486</v>
      </c>
      <c r="V34" s="10">
        <f t="shared" si="5"/>
        <v>0.85260568902830247</v>
      </c>
      <c r="W34">
        <f t="shared" si="6"/>
        <v>1.2789085335424537</v>
      </c>
      <c r="X34">
        <f t="shared" si="9"/>
        <v>2.6622037897012567</v>
      </c>
      <c r="Y34" s="15">
        <f t="shared" si="7"/>
        <v>396.46164539816067</v>
      </c>
      <c r="Z34" s="18">
        <f t="shared" si="8"/>
        <v>99.115411349540167</v>
      </c>
    </row>
    <row r="35" spans="1:26" ht="16.5" customHeight="1" x14ac:dyDescent="0.2">
      <c r="A35" s="5">
        <v>16</v>
      </c>
      <c r="B35" s="4">
        <v>14.21</v>
      </c>
      <c r="C35" s="4">
        <v>14.11</v>
      </c>
      <c r="D35" s="4">
        <v>14.01</v>
      </c>
      <c r="E35" s="1" t="s">
        <v>116</v>
      </c>
      <c r="F35" s="1" t="s">
        <v>117</v>
      </c>
      <c r="N35" s="5">
        <v>52</v>
      </c>
      <c r="O35" s="6">
        <v>3.8969999999999998</v>
      </c>
      <c r="P35" s="6">
        <v>3.8969999999999998</v>
      </c>
      <c r="Q35" s="10">
        <v>3.73</v>
      </c>
      <c r="R35" s="10">
        <f t="shared" si="1"/>
        <v>1.7999999999999998</v>
      </c>
      <c r="S35" s="10">
        <f t="shared" si="3"/>
        <v>0.92538677412391157</v>
      </c>
      <c r="T35" s="34">
        <f t="shared" si="2"/>
        <v>71.507159818665897</v>
      </c>
      <c r="U35" s="10">
        <f t="shared" si="4"/>
        <v>1.3626933870619558</v>
      </c>
      <c r="V35" s="10">
        <f t="shared" si="5"/>
        <v>0.87461322587608825</v>
      </c>
      <c r="W35">
        <f t="shared" si="6"/>
        <v>1.3119198388141324</v>
      </c>
      <c r="X35">
        <f t="shared" si="9"/>
        <v>2.6408786570968132</v>
      </c>
      <c r="Y35" s="15">
        <f t="shared" si="7"/>
        <v>406.69515003238104</v>
      </c>
      <c r="Z35" s="18">
        <f t="shared" si="8"/>
        <v>101.67378750809526</v>
      </c>
    </row>
    <row r="36" spans="1:26" ht="16.5" customHeight="1" x14ac:dyDescent="0.2">
      <c r="A36" s="5">
        <v>17</v>
      </c>
      <c r="B36" s="4">
        <v>13.67</v>
      </c>
      <c r="C36" s="4">
        <v>13.57</v>
      </c>
      <c r="D36" s="4">
        <v>13.48</v>
      </c>
      <c r="E36" s="1" t="s">
        <v>118</v>
      </c>
      <c r="F36" s="1" t="s">
        <v>119</v>
      </c>
      <c r="N36" s="5">
        <v>53</v>
      </c>
      <c r="O36" s="6">
        <v>3.7730000000000001</v>
      </c>
      <c r="P36" s="6">
        <v>3.7730000000000001</v>
      </c>
      <c r="Q36" s="10">
        <v>3.65</v>
      </c>
      <c r="R36" s="10">
        <f t="shared" si="1"/>
        <v>1.7999999999999998</v>
      </c>
      <c r="S36" s="10">
        <f t="shared" si="3"/>
        <v>0.90400784142888257</v>
      </c>
      <c r="T36" s="34">
        <f t="shared" si="2"/>
        <v>69.855151383140935</v>
      </c>
      <c r="U36" s="10">
        <f t="shared" si="4"/>
        <v>1.3520039207144412</v>
      </c>
      <c r="V36" s="10">
        <f t="shared" si="5"/>
        <v>0.89599215857111725</v>
      </c>
      <c r="W36">
        <f t="shared" si="6"/>
        <v>1.3439882378566759</v>
      </c>
      <c r="X36">
        <f t="shared" si="9"/>
        <v>2.6201626370434905</v>
      </c>
      <c r="Y36" s="15">
        <f t="shared" si="7"/>
        <v>416.63635373556951</v>
      </c>
      <c r="Z36" s="18">
        <f t="shared" si="8"/>
        <v>104.15908843389238</v>
      </c>
    </row>
    <row r="37" spans="1:26" ht="16.5" customHeight="1" x14ac:dyDescent="0.2">
      <c r="A37" s="5">
        <v>18</v>
      </c>
      <c r="B37" s="4">
        <v>13.14</v>
      </c>
      <c r="C37" s="4">
        <v>13.05</v>
      </c>
      <c r="D37" s="4">
        <v>12.97</v>
      </c>
      <c r="E37" s="1" t="s">
        <v>118</v>
      </c>
      <c r="F37" s="1" t="s">
        <v>119</v>
      </c>
      <c r="N37" s="5">
        <v>54</v>
      </c>
      <c r="O37" s="6">
        <v>3.653</v>
      </c>
      <c r="P37" s="6">
        <v>3.653</v>
      </c>
      <c r="Q37" s="10">
        <v>3.57</v>
      </c>
      <c r="R37" s="10">
        <f t="shared" si="1"/>
        <v>1.7999999999999998</v>
      </c>
      <c r="S37" s="10">
        <f t="shared" si="3"/>
        <v>0.88294880246099749</v>
      </c>
      <c r="T37" s="34">
        <f t="shared" si="2"/>
        <v>68.227862008349817</v>
      </c>
      <c r="U37" s="10">
        <f t="shared" si="4"/>
        <v>1.3414744012304987</v>
      </c>
      <c r="V37" s="10">
        <f t="shared" si="5"/>
        <v>0.91705119753900233</v>
      </c>
      <c r="W37">
        <f t="shared" si="6"/>
        <v>1.3755767963085035</v>
      </c>
      <c r="X37">
        <f t="shared" si="9"/>
        <v>2.5997565915319742</v>
      </c>
      <c r="Y37" s="15">
        <f t="shared" si="7"/>
        <v>426.42880685563614</v>
      </c>
      <c r="Z37" s="18">
        <f t="shared" si="8"/>
        <v>106.60720171390903</v>
      </c>
    </row>
    <row r="38" spans="1:26" ht="16.5" customHeight="1" x14ac:dyDescent="0.2">
      <c r="A38" s="5">
        <v>19</v>
      </c>
      <c r="B38" s="4">
        <v>12.64</v>
      </c>
      <c r="C38" s="4">
        <v>12.56</v>
      </c>
      <c r="D38" s="4">
        <v>12.48</v>
      </c>
      <c r="E38" s="1" t="s">
        <v>120</v>
      </c>
      <c r="F38" s="1" t="s">
        <v>119</v>
      </c>
      <c r="N38" s="5">
        <v>55</v>
      </c>
      <c r="O38" s="6">
        <v>3.5369999999999999</v>
      </c>
      <c r="P38" s="6">
        <v>3.5369999999999999</v>
      </c>
      <c r="Q38" s="10">
        <v>3.49</v>
      </c>
      <c r="R38" s="10">
        <f t="shared" si="1"/>
        <v>1.7999999999999998</v>
      </c>
      <c r="S38" s="10">
        <f t="shared" si="3"/>
        <v>0.86223683238531423</v>
      </c>
      <c r="T38" s="34">
        <f t="shared" si="2"/>
        <v>66.62739159341065</v>
      </c>
      <c r="U38" s="10">
        <f t="shared" si="4"/>
        <v>1.331118416192657</v>
      </c>
      <c r="V38" s="10">
        <f t="shared" si="5"/>
        <v>0.93776316761468559</v>
      </c>
      <c r="W38">
        <f t="shared" si="6"/>
        <v>1.4066447514220284</v>
      </c>
      <c r="X38">
        <f t="shared" si="9"/>
        <v>2.5796868530865447</v>
      </c>
      <c r="Y38" s="15">
        <f t="shared" si="7"/>
        <v>436.05987294082882</v>
      </c>
      <c r="Z38" s="18">
        <f t="shared" si="8"/>
        <v>109.01496823520721</v>
      </c>
    </row>
    <row r="39" spans="1:26" ht="16.5" customHeight="1" x14ac:dyDescent="0.2">
      <c r="A39" s="5">
        <v>20</v>
      </c>
      <c r="B39" s="4">
        <v>12.17</v>
      </c>
      <c r="C39" s="4">
        <v>12.09</v>
      </c>
      <c r="D39" s="4">
        <v>12.01</v>
      </c>
      <c r="E39" s="1" t="s">
        <v>120</v>
      </c>
      <c r="F39" s="1" t="s">
        <v>121</v>
      </c>
      <c r="N39" s="5">
        <v>56</v>
      </c>
      <c r="O39" s="6">
        <v>3.4260000000000002</v>
      </c>
      <c r="P39" s="6">
        <v>3.4260000000000002</v>
      </c>
      <c r="Q39" s="10">
        <v>3.41</v>
      </c>
      <c r="R39" s="10">
        <f t="shared" si="1"/>
        <v>1.7999999999999998</v>
      </c>
      <c r="S39" s="10">
        <f t="shared" si="3"/>
        <v>0.84208252644123338</v>
      </c>
      <c r="T39" s="34">
        <f t="shared" si="2"/>
        <v>65.070013406822582</v>
      </c>
      <c r="U39" s="10">
        <f t="shared" si="4"/>
        <v>1.3210412632206165</v>
      </c>
      <c r="V39" s="10">
        <f t="shared" si="5"/>
        <v>0.95791747355876644</v>
      </c>
      <c r="W39">
        <f t="shared" si="6"/>
        <v>1.4368762103381496</v>
      </c>
      <c r="X39">
        <f t="shared" si="9"/>
        <v>2.5601574868616601</v>
      </c>
      <c r="Y39" s="15">
        <f t="shared" si="7"/>
        <v>445.43162520482645</v>
      </c>
      <c r="Z39" s="18">
        <f t="shared" si="8"/>
        <v>111.35790630120661</v>
      </c>
    </row>
    <row r="40" spans="1:26" ht="16.5" customHeight="1" x14ac:dyDescent="0.2">
      <c r="A40" s="5">
        <v>21</v>
      </c>
      <c r="B40" s="4">
        <v>11.7</v>
      </c>
      <c r="C40" s="4">
        <v>11.63</v>
      </c>
      <c r="D40" s="4">
        <v>11.56</v>
      </c>
      <c r="E40" s="1" t="s">
        <v>122</v>
      </c>
      <c r="F40" s="1" t="s">
        <v>121</v>
      </c>
      <c r="N40" s="5">
        <v>57</v>
      </c>
      <c r="O40" s="6">
        <v>3.319</v>
      </c>
      <c r="P40" s="6">
        <v>3.319</v>
      </c>
      <c r="Q40" s="10">
        <v>3.33</v>
      </c>
      <c r="R40" s="10">
        <f t="shared" si="1"/>
        <v>1.7999999999999998</v>
      </c>
      <c r="S40" s="10">
        <f t="shared" si="3"/>
        <v>0.82233651175013145</v>
      </c>
      <c r="T40" s="34">
        <f t="shared" si="2"/>
        <v>63.544184998873796</v>
      </c>
      <c r="U40" s="10">
        <f t="shared" si="4"/>
        <v>1.3111682558750657</v>
      </c>
      <c r="V40" s="10">
        <f t="shared" si="5"/>
        <v>0.97766348824986837</v>
      </c>
      <c r="W40">
        <f t="shared" si="6"/>
        <v>1.4664952323748026</v>
      </c>
      <c r="X40">
        <f t="shared" si="9"/>
        <v>2.5410237516958638</v>
      </c>
      <c r="Y40" s="15">
        <f t="shared" si="7"/>
        <v>454.61352203618884</v>
      </c>
      <c r="Z40" s="18">
        <f t="shared" si="8"/>
        <v>113.65338050904721</v>
      </c>
    </row>
    <row r="41" spans="1:26" ht="16.5" customHeight="1" x14ac:dyDescent="0.2">
      <c r="A41" s="5">
        <v>22</v>
      </c>
      <c r="B41" s="4">
        <v>11.26</v>
      </c>
      <c r="C41" s="4">
        <v>11.2</v>
      </c>
      <c r="D41" s="4">
        <v>11.13</v>
      </c>
      <c r="E41" s="1" t="s">
        <v>122</v>
      </c>
      <c r="F41" s="1" t="s">
        <v>123</v>
      </c>
      <c r="N41" s="5">
        <v>58</v>
      </c>
      <c r="O41" s="6">
        <v>3.2160000000000002</v>
      </c>
      <c r="P41" s="6">
        <v>3.2160000000000002</v>
      </c>
      <c r="Q41" s="10">
        <v>3.25</v>
      </c>
      <c r="R41" s="10">
        <f t="shared" si="1"/>
        <v>1.7999999999999998</v>
      </c>
      <c r="S41" s="10">
        <f t="shared" si="3"/>
        <v>0.8030266343825665</v>
      </c>
      <c r="T41" s="34">
        <f t="shared" si="2"/>
        <v>62.052058111380141</v>
      </c>
      <c r="U41" s="10">
        <f t="shared" si="4"/>
        <v>1.3015133171912832</v>
      </c>
      <c r="V41" s="10">
        <f t="shared" si="5"/>
        <v>0.99697336561743333</v>
      </c>
      <c r="W41">
        <f t="shared" si="6"/>
        <v>1.49546004842615</v>
      </c>
      <c r="X41">
        <f t="shared" si="9"/>
        <v>2.5223126302156649</v>
      </c>
      <c r="Y41" s="15">
        <f t="shared" si="7"/>
        <v>463.59261501210648</v>
      </c>
      <c r="Z41" s="18">
        <f t="shared" si="8"/>
        <v>115.89815375302662</v>
      </c>
    </row>
    <row r="42" spans="1:26" ht="16.5" customHeight="1" x14ac:dyDescent="0.2">
      <c r="A42" s="5">
        <v>23</v>
      </c>
      <c r="B42" s="4">
        <v>10.84</v>
      </c>
      <c r="C42" s="4">
        <v>10.78</v>
      </c>
      <c r="D42" s="4">
        <v>10.72</v>
      </c>
      <c r="E42" s="1" t="s">
        <v>122</v>
      </c>
      <c r="F42" s="1" t="s">
        <v>123</v>
      </c>
      <c r="N42" s="5">
        <v>59</v>
      </c>
      <c r="O42" s="6">
        <v>3.117</v>
      </c>
      <c r="P42" s="6">
        <v>3.117</v>
      </c>
      <c r="Q42" s="10">
        <v>3.17</v>
      </c>
      <c r="R42" s="10">
        <f t="shared" si="1"/>
        <v>1.7999999999999998</v>
      </c>
      <c r="S42" s="10">
        <f t="shared" si="3"/>
        <v>0.78418083403217187</v>
      </c>
      <c r="T42" s="34">
        <f t="shared" si="2"/>
        <v>60.595791720667826</v>
      </c>
      <c r="U42" s="10">
        <f t="shared" si="4"/>
        <v>1.2920904170160858</v>
      </c>
      <c r="V42" s="10">
        <f t="shared" si="5"/>
        <v>1.015819165967828</v>
      </c>
      <c r="W42">
        <f t="shared" si="6"/>
        <v>1.5237287489517419</v>
      </c>
      <c r="X42">
        <f t="shared" si="9"/>
        <v>2.5040511957676084</v>
      </c>
      <c r="Y42" s="15">
        <f t="shared" si="7"/>
        <v>472.35591217504003</v>
      </c>
      <c r="Z42" s="18">
        <f t="shared" si="8"/>
        <v>118.08897804376001</v>
      </c>
    </row>
    <row r="43" spans="1:26" ht="16.5" customHeight="1" x14ac:dyDescent="0.2">
      <c r="A43" s="5">
        <v>24</v>
      </c>
      <c r="B43" s="4">
        <v>10.44</v>
      </c>
      <c r="C43" s="4">
        <v>10.38</v>
      </c>
      <c r="D43" s="4">
        <v>10.32</v>
      </c>
      <c r="E43" s="1" t="s">
        <v>124</v>
      </c>
      <c r="F43" s="1" t="s">
        <v>125</v>
      </c>
      <c r="N43" s="5">
        <v>60</v>
      </c>
      <c r="O43" s="6">
        <v>3.0219999999999998</v>
      </c>
      <c r="P43" s="6">
        <v>3.0219999999999998</v>
      </c>
      <c r="Q43" s="10">
        <v>3.09</v>
      </c>
      <c r="R43" s="10">
        <f t="shared" si="1"/>
        <v>1.7999999999999998</v>
      </c>
      <c r="S43" s="10">
        <f t="shared" si="3"/>
        <v>0.76582706189525407</v>
      </c>
      <c r="T43" s="34">
        <f t="shared" si="2"/>
        <v>59.177545691905998</v>
      </c>
      <c r="U43" s="10">
        <f t="shared" si="4"/>
        <v>1.2829135309476269</v>
      </c>
      <c r="V43" s="10">
        <f t="shared" si="5"/>
        <v>1.0341729381047458</v>
      </c>
      <c r="W43">
        <f t="shared" si="6"/>
        <v>1.5512594071571186</v>
      </c>
      <c r="X43">
        <f t="shared" si="9"/>
        <v>2.4862665328442382</v>
      </c>
      <c r="Y43" s="15">
        <f t="shared" si="7"/>
        <v>480.89041621870683</v>
      </c>
      <c r="Z43" s="18">
        <f t="shared" si="8"/>
        <v>120.22260405467671</v>
      </c>
    </row>
    <row r="44" spans="1:26" ht="16.5" customHeight="1" x14ac:dyDescent="0.2">
      <c r="A44" s="5">
        <v>25</v>
      </c>
      <c r="B44" s="4">
        <v>10.050000000000001</v>
      </c>
      <c r="C44" s="4">
        <v>10</v>
      </c>
      <c r="D44" s="6">
        <v>9.9499999999999993</v>
      </c>
      <c r="E44" s="1" t="s">
        <v>124</v>
      </c>
      <c r="F44" s="1" t="s">
        <v>125</v>
      </c>
      <c r="N44" s="5">
        <v>61</v>
      </c>
      <c r="O44" s="6">
        <v>2.9289999999999998</v>
      </c>
      <c r="P44" s="6">
        <v>2.9289999999999998</v>
      </c>
      <c r="Q44" s="10">
        <v>3.01</v>
      </c>
      <c r="R44" s="10">
        <f t="shared" si="1"/>
        <v>1.7999999999999998</v>
      </c>
      <c r="S44" s="10">
        <f t="shared" si="3"/>
        <v>0.74759842215175176</v>
      </c>
      <c r="T44" s="34">
        <f t="shared" si="2"/>
        <v>57.768968984453551</v>
      </c>
      <c r="U44" s="10">
        <f t="shared" si="4"/>
        <v>1.2737992110758758</v>
      </c>
      <c r="V44" s="10">
        <f t="shared" si="5"/>
        <v>1.0524015778482481</v>
      </c>
      <c r="W44">
        <f t="shared" si="6"/>
        <v>1.5786023667723721</v>
      </c>
      <c r="X44">
        <f t="shared" si="9"/>
        <v>2.4686031222400695</v>
      </c>
      <c r="Y44" s="15">
        <f t="shared" si="7"/>
        <v>489.36673369943537</v>
      </c>
      <c r="Z44" s="18">
        <f t="shared" si="8"/>
        <v>122.34168342485884</v>
      </c>
    </row>
    <row r="45" spans="1:26" ht="16.5" customHeight="1" x14ac:dyDescent="0.2">
      <c r="A45" s="5">
        <v>26</v>
      </c>
      <c r="B45" s="6">
        <v>9.6829999999999998</v>
      </c>
      <c r="C45" s="6">
        <v>9.6329999999999991</v>
      </c>
      <c r="D45" s="6">
        <v>9.5820000000000007</v>
      </c>
      <c r="E45" s="1" t="s">
        <v>124</v>
      </c>
      <c r="F45" s="1" t="s">
        <v>125</v>
      </c>
      <c r="N45" s="5">
        <v>62</v>
      </c>
      <c r="O45" s="6">
        <v>2.839</v>
      </c>
      <c r="P45" s="6">
        <v>2.839</v>
      </c>
      <c r="Q45" s="10">
        <v>2.93</v>
      </c>
      <c r="R45" s="10">
        <f t="shared" si="1"/>
        <v>1.7999999999999998</v>
      </c>
      <c r="S45" s="10">
        <f t="shared" si="3"/>
        <v>0.72970636342394257</v>
      </c>
      <c r="T45" s="34">
        <f t="shared" si="2"/>
        <v>56.38640081003193</v>
      </c>
      <c r="U45" s="10">
        <f t="shared" si="4"/>
        <v>1.2648531817119713</v>
      </c>
      <c r="V45" s="10">
        <f t="shared" si="5"/>
        <v>1.0702936365760571</v>
      </c>
      <c r="W45">
        <f t="shared" si="6"/>
        <v>1.6054404548640857</v>
      </c>
      <c r="X45">
        <f t="shared" si="9"/>
        <v>2.4512658560309522</v>
      </c>
      <c r="Y45" s="15">
        <f t="shared" si="7"/>
        <v>497.68654100786659</v>
      </c>
      <c r="Z45" s="18">
        <f t="shared" si="8"/>
        <v>124.42163525196665</v>
      </c>
    </row>
    <row r="46" spans="1:26" ht="16.5" customHeight="1" x14ac:dyDescent="0.2">
      <c r="A46" s="5">
        <v>27</v>
      </c>
      <c r="B46" s="6">
        <v>9.3320000000000007</v>
      </c>
      <c r="C46" s="6">
        <v>9.2810000000000006</v>
      </c>
      <c r="D46" s="6">
        <v>9.2309999999999999</v>
      </c>
      <c r="E46" s="1" t="s">
        <v>122</v>
      </c>
      <c r="F46" s="1" t="s">
        <v>123</v>
      </c>
      <c r="N46" s="5">
        <v>63</v>
      </c>
      <c r="O46" s="6">
        <v>2.7530000000000001</v>
      </c>
      <c r="P46" s="6">
        <v>2.7530000000000001</v>
      </c>
      <c r="Q46" s="10">
        <v>2.85</v>
      </c>
      <c r="R46" s="10">
        <f t="shared" si="1"/>
        <v>1.7999999999999998</v>
      </c>
      <c r="S46" s="10">
        <f t="shared" si="3"/>
        <v>0.71237355916254996</v>
      </c>
      <c r="T46" s="34">
        <f t="shared" si="2"/>
        <v>55.047047753469776</v>
      </c>
      <c r="U46" s="10">
        <f t="shared" si="4"/>
        <v>1.2561867795812749</v>
      </c>
      <c r="V46" s="10">
        <f t="shared" si="5"/>
        <v>1.0876264408374499</v>
      </c>
      <c r="W46">
        <f t="shared" si="6"/>
        <v>1.6314396612561748</v>
      </c>
      <c r="X46">
        <f t="shared" si="9"/>
        <v>2.4344705030644862</v>
      </c>
      <c r="Y46" s="15">
        <f t="shared" si="7"/>
        <v>505.7462949894142</v>
      </c>
      <c r="Z46" s="18">
        <f t="shared" si="8"/>
        <v>126.43657374735355</v>
      </c>
    </row>
    <row r="47" spans="1:26" ht="16.5" customHeight="1" x14ac:dyDescent="0.2">
      <c r="A47" s="5">
        <v>28</v>
      </c>
      <c r="B47" s="6">
        <v>8.9949999999999992</v>
      </c>
      <c r="C47" s="6">
        <v>8.9450000000000003</v>
      </c>
      <c r="D47" s="6">
        <v>8.8949999999999996</v>
      </c>
      <c r="E47" s="1" t="s">
        <v>120</v>
      </c>
      <c r="F47" s="1" t="s">
        <v>121</v>
      </c>
      <c r="N47" s="5">
        <v>64</v>
      </c>
      <c r="O47" s="6">
        <v>2.67</v>
      </c>
      <c r="P47" s="6">
        <v>2.67</v>
      </c>
      <c r="Q47" s="10">
        <v>2.77</v>
      </c>
      <c r="R47" s="10">
        <f t="shared" si="1"/>
        <v>1.7999999999999998</v>
      </c>
      <c r="S47" s="10">
        <f t="shared" si="3"/>
        <v>0.69542225730071039</v>
      </c>
      <c r="T47" s="34">
        <f t="shared" si="2"/>
        <v>53.737174427782165</v>
      </c>
      <c r="U47" s="10">
        <f t="shared" si="4"/>
        <v>1.2477111286503551</v>
      </c>
      <c r="V47" s="10">
        <f t="shared" si="5"/>
        <v>1.1045777426992895</v>
      </c>
      <c r="W47">
        <f t="shared" si="6"/>
        <v>1.6568666140489343</v>
      </c>
      <c r="X47">
        <f t="shared" si="9"/>
        <v>2.4180448229658045</v>
      </c>
      <c r="Y47" s="15">
        <f t="shared" si="7"/>
        <v>513.62865035516973</v>
      </c>
      <c r="Z47" s="18">
        <f t="shared" si="8"/>
        <v>128.40716258879243</v>
      </c>
    </row>
    <row r="48" spans="1:26" ht="16.5" customHeight="1" x14ac:dyDescent="0.2">
      <c r="A48" s="5">
        <v>29</v>
      </c>
      <c r="B48" s="6">
        <v>8.673</v>
      </c>
      <c r="C48" s="6">
        <v>8.6229999999999993</v>
      </c>
      <c r="D48" s="6">
        <v>8.5730000000000004</v>
      </c>
      <c r="E48" s="1" t="s">
        <v>120</v>
      </c>
      <c r="F48" s="1" t="s">
        <v>121</v>
      </c>
      <c r="N48" s="5">
        <v>65</v>
      </c>
      <c r="O48" s="6">
        <v>2.589</v>
      </c>
      <c r="P48" s="6">
        <v>2.589</v>
      </c>
      <c r="Q48" s="10">
        <v>2.69</v>
      </c>
      <c r="R48" s="10">
        <f t="shared" si="1"/>
        <v>1.7999999999999998</v>
      </c>
      <c r="S48" s="10">
        <f t="shared" si="3"/>
        <v>0.67866391293986805</v>
      </c>
      <c r="T48" s="34">
        <f t="shared" si="2"/>
        <v>52.442211454444355</v>
      </c>
      <c r="U48" s="10">
        <f t="shared" si="4"/>
        <v>1.2393319564699339</v>
      </c>
      <c r="V48" s="10">
        <f t="shared" si="5"/>
        <v>1.1213360870601319</v>
      </c>
      <c r="W48">
        <f t="shared" si="6"/>
        <v>1.6820041305901978</v>
      </c>
      <c r="X48">
        <f t="shared" si="9"/>
        <v>2.4018061171897944</v>
      </c>
      <c r="Y48" s="15">
        <f t="shared" si="7"/>
        <v>521.42128048296138</v>
      </c>
      <c r="Z48" s="18">
        <f t="shared" si="8"/>
        <v>130.35532012074034</v>
      </c>
    </row>
    <row r="49" spans="1:26" ht="16.5" customHeight="1" x14ac:dyDescent="0.2">
      <c r="A49" s="5">
        <v>30</v>
      </c>
      <c r="B49" s="6">
        <v>8.3640000000000008</v>
      </c>
      <c r="C49" s="6">
        <v>8.3140000000000001</v>
      </c>
      <c r="D49" s="6">
        <v>8.2639999999999993</v>
      </c>
      <c r="E49" s="1" t="s">
        <v>118</v>
      </c>
      <c r="F49" s="1" t="s">
        <v>119</v>
      </c>
      <c r="N49" s="5">
        <v>66</v>
      </c>
      <c r="O49" s="6">
        <v>2.512</v>
      </c>
      <c r="P49" s="6">
        <v>2.512</v>
      </c>
      <c r="Q49" s="10">
        <v>2.61</v>
      </c>
      <c r="R49" s="10">
        <f t="shared" si="1"/>
        <v>1.7999999999999998</v>
      </c>
      <c r="S49" s="10">
        <f t="shared" si="3"/>
        <v>0.6625319693094629</v>
      </c>
      <c r="T49" s="34">
        <f t="shared" si="2"/>
        <v>51.195652173913047</v>
      </c>
      <c r="U49" s="10">
        <f t="shared" si="4"/>
        <v>1.2312659846547314</v>
      </c>
      <c r="V49" s="10">
        <f t="shared" si="5"/>
        <v>1.1374680306905369</v>
      </c>
      <c r="W49">
        <f t="shared" si="6"/>
        <v>1.7062020460358054</v>
      </c>
      <c r="X49">
        <f t="shared" si="9"/>
        <v>2.3861743888657583</v>
      </c>
      <c r="Y49" s="15">
        <f>W49/3.3*1023</f>
        <v>528.9226342710997</v>
      </c>
      <c r="Z49" s="18">
        <f t="shared" si="8"/>
        <v>132.23065856777492</v>
      </c>
    </row>
    <row r="50" spans="1:26" ht="16.5" customHeight="1" x14ac:dyDescent="0.2">
      <c r="A50" s="5">
        <v>31</v>
      </c>
      <c r="B50" s="6">
        <v>8.0649999999999995</v>
      </c>
      <c r="C50" s="6">
        <v>8.016</v>
      </c>
      <c r="D50" s="6">
        <v>7.9660000000000002</v>
      </c>
      <c r="E50" s="1" t="s">
        <v>118</v>
      </c>
      <c r="F50" s="1" t="s">
        <v>119</v>
      </c>
      <c r="N50" s="5">
        <v>67</v>
      </c>
      <c r="O50" s="6">
        <v>2.4380000000000002</v>
      </c>
      <c r="P50" s="6">
        <v>2.4380000000000002</v>
      </c>
      <c r="Q50" s="10">
        <v>2.5299999999999998</v>
      </c>
      <c r="R50" s="10">
        <f t="shared" si="1"/>
        <v>1.7999999999999998</v>
      </c>
      <c r="S50" s="10">
        <f t="shared" si="3"/>
        <v>0.64684032802701397</v>
      </c>
      <c r="T50" s="34">
        <f t="shared" si="2"/>
        <v>49.983116256632897</v>
      </c>
      <c r="U50" s="10">
        <f t="shared" si="4"/>
        <v>1.2234201640135069</v>
      </c>
      <c r="V50" s="10">
        <f t="shared" si="5"/>
        <v>1.1531596719729857</v>
      </c>
      <c r="W50">
        <f t="shared" si="6"/>
        <v>1.7297395079594786</v>
      </c>
      <c r="X50">
        <f t="shared" si="9"/>
        <v>2.3709693101036957</v>
      </c>
      <c r="Y50" s="15">
        <f t="shared" si="7"/>
        <v>536.21924746743844</v>
      </c>
      <c r="Z50" s="18">
        <f t="shared" si="8"/>
        <v>134.05481186685961</v>
      </c>
    </row>
    <row r="51" spans="1:26" ht="16.5" customHeight="1" x14ac:dyDescent="0.2">
      <c r="A51" s="5">
        <v>32</v>
      </c>
      <c r="B51" s="6">
        <v>7.7789999999999999</v>
      </c>
      <c r="C51" s="6">
        <v>7.73</v>
      </c>
      <c r="D51" s="6">
        <v>7.681</v>
      </c>
      <c r="E51" s="1" t="s">
        <v>116</v>
      </c>
      <c r="F51" s="1" t="s">
        <v>117</v>
      </c>
      <c r="N51" s="5">
        <v>68</v>
      </c>
      <c r="O51" s="6">
        <v>2.3660000000000001</v>
      </c>
      <c r="P51" s="6">
        <v>2.3660000000000001</v>
      </c>
      <c r="Q51" s="10">
        <v>2.4500000000000002</v>
      </c>
      <c r="R51" s="10">
        <f t="shared" si="1"/>
        <v>1.7999999999999998</v>
      </c>
      <c r="S51" s="10">
        <f t="shared" si="3"/>
        <v>0.63139252789907818</v>
      </c>
      <c r="T51" s="34">
        <f t="shared" si="2"/>
        <v>48.789422610383319</v>
      </c>
      <c r="U51" s="10">
        <f t="shared" si="4"/>
        <v>1.215696263949539</v>
      </c>
      <c r="V51" s="10">
        <f t="shared" si="5"/>
        <v>1.1686074721009216</v>
      </c>
      <c r="W51">
        <f t="shared" si="6"/>
        <v>1.7529112081513825</v>
      </c>
      <c r="X51">
        <f t="shared" si="9"/>
        <v>2.3560005115301141</v>
      </c>
      <c r="Y51" s="15">
        <f t="shared" si="7"/>
        <v>543.40247452692859</v>
      </c>
      <c r="Z51" s="18">
        <f t="shared" si="8"/>
        <v>135.85061863173215</v>
      </c>
    </row>
    <row r="52" spans="1:26" ht="16.5" customHeight="1" x14ac:dyDescent="0.2">
      <c r="A52" s="5">
        <v>33</v>
      </c>
      <c r="B52" s="6">
        <v>7.5039999999999996</v>
      </c>
      <c r="C52" s="6">
        <v>7.4560000000000004</v>
      </c>
      <c r="D52" s="6">
        <v>7.407</v>
      </c>
      <c r="E52" s="1" t="s">
        <v>116</v>
      </c>
      <c r="F52" s="1" t="s">
        <v>115</v>
      </c>
      <c r="N52" s="5">
        <v>69</v>
      </c>
      <c r="O52" s="6">
        <v>2.2959999999999998</v>
      </c>
      <c r="P52" s="6">
        <v>2.2959999999999998</v>
      </c>
      <c r="Q52" s="10">
        <v>2.37</v>
      </c>
      <c r="R52" s="10">
        <f t="shared" si="1"/>
        <v>1.7999999999999998</v>
      </c>
      <c r="S52" s="10">
        <f t="shared" si="3"/>
        <v>0.61620039037085228</v>
      </c>
      <c r="T52" s="34">
        <f t="shared" si="2"/>
        <v>47.615484710474952</v>
      </c>
      <c r="U52" s="10">
        <f t="shared" si="4"/>
        <v>1.208100195185426</v>
      </c>
      <c r="V52" s="10">
        <f t="shared" si="5"/>
        <v>1.1837996096291477</v>
      </c>
      <c r="W52">
        <f t="shared" si="6"/>
        <v>1.7756994144437215</v>
      </c>
      <c r="X52">
        <f t="shared" si="9"/>
        <v>2.3412794480337711</v>
      </c>
      <c r="Y52" s="15">
        <f t="shared" si="7"/>
        <v>550.46681847755372</v>
      </c>
      <c r="Z52" s="18">
        <f t="shared" si="8"/>
        <v>137.61670461938843</v>
      </c>
    </row>
    <row r="53" spans="1:26" ht="16.5" customHeight="1" x14ac:dyDescent="0.2">
      <c r="A53" s="5">
        <v>34</v>
      </c>
      <c r="B53" s="6">
        <v>7.2409999999999997</v>
      </c>
      <c r="C53" s="6">
        <v>7.1929999999999996</v>
      </c>
      <c r="D53" s="6">
        <v>7.1449999999999996</v>
      </c>
      <c r="E53" s="1" t="s">
        <v>114</v>
      </c>
      <c r="F53" s="1" t="s">
        <v>115</v>
      </c>
      <c r="N53" s="5">
        <v>70</v>
      </c>
      <c r="O53" s="6">
        <v>2.2290000000000001</v>
      </c>
      <c r="P53" s="6">
        <v>2.2290000000000001</v>
      </c>
      <c r="Q53" s="10">
        <v>2.29</v>
      </c>
      <c r="R53" s="10">
        <f t="shared" si="1"/>
        <v>1.7999999999999998</v>
      </c>
      <c r="S53" s="10">
        <f t="shared" si="3"/>
        <v>0.6014964428816747</v>
      </c>
      <c r="T53" s="34">
        <f t="shared" si="2"/>
        <v>46.47927058631123</v>
      </c>
      <c r="U53" s="10">
        <f>(R53+S53)/2</f>
        <v>1.2007482214408371</v>
      </c>
      <c r="V53" s="10">
        <f t="shared" si="5"/>
        <v>1.1985035571183251</v>
      </c>
      <c r="W53">
        <f t="shared" si="6"/>
        <v>1.7977553356774876</v>
      </c>
      <c r="X53">
        <f t="shared" si="9"/>
        <v>2.3270314369008469</v>
      </c>
      <c r="Y53" s="15">
        <f t="shared" si="7"/>
        <v>557.30415406002123</v>
      </c>
      <c r="Z53" s="18">
        <f t="shared" si="8"/>
        <v>139.32603851500531</v>
      </c>
    </row>
    <row r="54" spans="1:26" ht="16.5" customHeight="1" x14ac:dyDescent="0.2">
      <c r="A54" s="5">
        <v>35</v>
      </c>
      <c r="B54" s="6">
        <v>6.9889999999999999</v>
      </c>
      <c r="C54" s="6">
        <v>6.9409999999999998</v>
      </c>
      <c r="D54" s="6">
        <v>6.8940000000000001</v>
      </c>
      <c r="E54" s="1" t="s">
        <v>112</v>
      </c>
      <c r="F54" s="1" t="s">
        <v>113</v>
      </c>
      <c r="N54" s="5">
        <v>71</v>
      </c>
      <c r="O54" s="6">
        <v>2.1640000000000001</v>
      </c>
      <c r="P54" s="6">
        <v>2.1640000000000001</v>
      </c>
      <c r="Q54" s="10">
        <v>2.21</v>
      </c>
      <c r="R54" s="10">
        <f t="shared" si="1"/>
        <v>1.7999999999999998</v>
      </c>
      <c r="S54" s="10">
        <f t="shared" si="3"/>
        <v>0.58707661953304835</v>
      </c>
      <c r="T54" s="34">
        <f t="shared" si="2"/>
        <v>45.365011509371918</v>
      </c>
      <c r="U54" s="10">
        <f t="shared" si="4"/>
        <v>1.1935383097665242</v>
      </c>
      <c r="V54" s="10">
        <f t="shared" si="5"/>
        <v>1.2129233804669515</v>
      </c>
      <c r="W54">
        <f t="shared" si="6"/>
        <v>1.8193850707004273</v>
      </c>
      <c r="X54">
        <f t="shared" si="9"/>
        <v>2.3130587398576048</v>
      </c>
      <c r="Y54" s="15">
        <f t="shared" si="7"/>
        <v>564.00937191713251</v>
      </c>
      <c r="Z54" s="18">
        <f t="shared" si="8"/>
        <v>141.00234297928313</v>
      </c>
    </row>
    <row r="55" spans="1:26" ht="16.5" customHeight="1" x14ac:dyDescent="0.2">
      <c r="A55" s="5">
        <v>36</v>
      </c>
      <c r="B55" s="6">
        <v>6.7469999999999999</v>
      </c>
      <c r="C55" s="6">
        <v>6.7</v>
      </c>
      <c r="D55" s="6">
        <v>6.6529999999999996</v>
      </c>
      <c r="E55" s="1" t="s">
        <v>112</v>
      </c>
      <c r="F55" s="1" t="s">
        <v>113</v>
      </c>
      <c r="N55" s="19">
        <v>72</v>
      </c>
      <c r="O55" s="20">
        <v>2.101</v>
      </c>
      <c r="P55" s="20">
        <v>2.101</v>
      </c>
      <c r="Q55" s="21">
        <v>2.13</v>
      </c>
      <c r="R55" s="10">
        <f t="shared" si="1"/>
        <v>1.7999999999999998</v>
      </c>
      <c r="S55" s="10">
        <f t="shared" si="3"/>
        <v>0.57295264854144279</v>
      </c>
      <c r="T55" s="34">
        <f t="shared" si="2"/>
        <v>44.27361375092967</v>
      </c>
      <c r="U55" s="10">
        <f t="shared" si="4"/>
        <v>1.1864763242707212</v>
      </c>
      <c r="V55" s="10">
        <f t="shared" si="5"/>
        <v>1.2270473514585571</v>
      </c>
      <c r="W55" s="22">
        <f t="shared" si="6"/>
        <v>1.8405710271878357</v>
      </c>
      <c r="X55">
        <f t="shared" si="9"/>
        <v>2.299372721454886</v>
      </c>
      <c r="Y55" s="23">
        <f t="shared" si="7"/>
        <v>570.57701842822917</v>
      </c>
      <c r="Z55" s="18">
        <f t="shared" si="8"/>
        <v>142.64425460705729</v>
      </c>
    </row>
    <row r="56" spans="1:26" ht="16.5" customHeight="1" x14ac:dyDescent="0.2">
      <c r="A56" s="5">
        <v>37</v>
      </c>
      <c r="B56" s="6">
        <v>6.5149999999999997</v>
      </c>
      <c r="C56" s="6">
        <v>6.468</v>
      </c>
      <c r="D56" s="6">
        <v>6.4219999999999997</v>
      </c>
      <c r="E56" s="1" t="s">
        <v>110</v>
      </c>
      <c r="F56" s="1" t="s">
        <v>111</v>
      </c>
      <c r="N56" s="5">
        <v>73</v>
      </c>
      <c r="O56" s="6">
        <v>2.04</v>
      </c>
      <c r="P56" s="6">
        <v>2.04</v>
      </c>
      <c r="Q56" s="10">
        <v>2.0499999999999998</v>
      </c>
      <c r="R56" s="10">
        <f t="shared" si="1"/>
        <v>1.7999999999999998</v>
      </c>
      <c r="S56" s="10">
        <f t="shared" si="3"/>
        <v>0.55913621262458468</v>
      </c>
      <c r="T56" s="34">
        <f t="shared" si="2"/>
        <v>43.205980066445186</v>
      </c>
      <c r="U56" s="10">
        <f t="shared" si="4"/>
        <v>1.1795681063122923</v>
      </c>
      <c r="V56" s="10">
        <f t="shared" si="5"/>
        <v>1.2408637873754151</v>
      </c>
      <c r="W56">
        <f t="shared" si="6"/>
        <v>1.8612956810631227</v>
      </c>
      <c r="X56">
        <f t="shared" si="9"/>
        <v>2.2859847021556052</v>
      </c>
      <c r="Y56" s="15">
        <f t="shared" si="7"/>
        <v>577.00166112956811</v>
      </c>
      <c r="Z56" s="18">
        <f t="shared" si="8"/>
        <v>144.25041528239203</v>
      </c>
    </row>
    <row r="57" spans="1:26" ht="16.5" customHeight="1" x14ac:dyDescent="0.2">
      <c r="A57" s="5">
        <v>38</v>
      </c>
      <c r="B57" s="6">
        <v>6.2930000000000001</v>
      </c>
      <c r="C57" s="6">
        <v>6.2460000000000004</v>
      </c>
      <c r="D57" s="6">
        <v>6.2</v>
      </c>
      <c r="E57" s="1" t="s">
        <v>108</v>
      </c>
      <c r="F57" s="1" t="s">
        <v>109</v>
      </c>
      <c r="N57" s="5">
        <v>74</v>
      </c>
      <c r="O57" s="6">
        <v>1.9810000000000001</v>
      </c>
      <c r="P57" s="6">
        <v>1.9810000000000001</v>
      </c>
      <c r="Q57" s="10">
        <v>1.97</v>
      </c>
      <c r="R57" s="10">
        <f t="shared" si="1"/>
        <v>1.7999999999999998</v>
      </c>
      <c r="S57" s="10">
        <f t="shared" si="3"/>
        <v>0.54563892830314664</v>
      </c>
      <c r="T57" s="34">
        <f t="shared" si="2"/>
        <v>42.16300809615224</v>
      </c>
      <c r="U57" s="10">
        <f t="shared" si="4"/>
        <v>1.1728194641515732</v>
      </c>
      <c r="V57" s="10">
        <f t="shared" si="5"/>
        <v>1.2543610716968532</v>
      </c>
      <c r="W57">
        <f t="shared" si="6"/>
        <v>1.8815416075452798</v>
      </c>
      <c r="X57">
        <f t="shared" si="9"/>
        <v>2.2729059382782428</v>
      </c>
      <c r="Y57" s="15">
        <f t="shared" si="7"/>
        <v>583.27789833903682</v>
      </c>
      <c r="Z57" s="18">
        <f t="shared" si="8"/>
        <v>145.81947458475921</v>
      </c>
    </row>
    <row r="58" spans="1:26" ht="16.5" customHeight="1" x14ac:dyDescent="0.2">
      <c r="A58" s="5">
        <v>39</v>
      </c>
      <c r="B58" s="6">
        <v>6.0789999999999997</v>
      </c>
      <c r="C58" s="6">
        <v>6.0330000000000004</v>
      </c>
      <c r="D58" s="6">
        <v>5.9870000000000001</v>
      </c>
      <c r="E58" s="1" t="s">
        <v>108</v>
      </c>
      <c r="F58" s="1" t="s">
        <v>109</v>
      </c>
      <c r="N58" s="5">
        <v>75</v>
      </c>
      <c r="O58" s="6">
        <v>1.925</v>
      </c>
      <c r="P58" s="6">
        <v>1.925</v>
      </c>
      <c r="Q58" s="10">
        <v>1.89</v>
      </c>
      <c r="R58" s="10">
        <f t="shared" si="1"/>
        <v>1.7999999999999998</v>
      </c>
      <c r="S58" s="10">
        <f t="shared" si="3"/>
        <v>0.53270440251572326</v>
      </c>
      <c r="T58" s="34">
        <f t="shared" si="2"/>
        <v>41.163522012578618</v>
      </c>
      <c r="U58" s="10">
        <f t="shared" si="4"/>
        <v>1.1663522012578615</v>
      </c>
      <c r="V58" s="10">
        <f t="shared" si="5"/>
        <v>1.2672955974842766</v>
      </c>
      <c r="W58">
        <f t="shared" si="6"/>
        <v>1.9009433962264148</v>
      </c>
      <c r="X58">
        <f t="shared" si="9"/>
        <v>2.2603724830578713</v>
      </c>
      <c r="Y58" s="15">
        <f t="shared" si="7"/>
        <v>589.29245283018872</v>
      </c>
      <c r="Z58" s="18">
        <f t="shared" si="8"/>
        <v>147.32311320754718</v>
      </c>
    </row>
    <row r="59" spans="1:26" ht="16.5" customHeight="1" x14ac:dyDescent="0.2">
      <c r="A59" s="5">
        <v>40</v>
      </c>
      <c r="B59" s="6">
        <v>5.8739999999999997</v>
      </c>
      <c r="C59" s="6">
        <v>5.8289999999999997</v>
      </c>
      <c r="D59" s="6">
        <v>5.7830000000000004</v>
      </c>
      <c r="E59" s="1" t="s">
        <v>106</v>
      </c>
      <c r="F59" s="1" t="s">
        <v>107</v>
      </c>
      <c r="N59" s="5">
        <v>76</v>
      </c>
      <c r="O59" s="6">
        <v>1.87</v>
      </c>
      <c r="P59" s="6">
        <v>1.87</v>
      </c>
      <c r="Q59" s="10">
        <v>1.82</v>
      </c>
      <c r="R59" s="10">
        <f t="shared" si="1"/>
        <v>1.7999999999999998</v>
      </c>
      <c r="S59" s="10">
        <f t="shared" si="3"/>
        <v>0.51988205560235889</v>
      </c>
      <c r="T59" s="34">
        <f t="shared" si="2"/>
        <v>40.172704296545916</v>
      </c>
      <c r="U59" s="10">
        <f t="shared" si="4"/>
        <v>1.1599410278011795</v>
      </c>
      <c r="V59" s="10">
        <f t="shared" si="5"/>
        <v>1.2801179443976409</v>
      </c>
      <c r="W59">
        <f t="shared" si="6"/>
        <v>1.9201769165964615</v>
      </c>
      <c r="X59">
        <f t="shared" si="9"/>
        <v>2.2479477282968592</v>
      </c>
      <c r="Y59" s="15">
        <f t="shared" si="7"/>
        <v>595.25484414490313</v>
      </c>
      <c r="Z59" s="18">
        <f t="shared" si="8"/>
        <v>148.81371103622578</v>
      </c>
    </row>
    <row r="60" spans="1:26" ht="16.5" customHeight="1" x14ac:dyDescent="0.2">
      <c r="A60" s="5">
        <v>41</v>
      </c>
      <c r="B60" s="6">
        <v>5.6749999999999998</v>
      </c>
      <c r="C60" s="6">
        <v>5.63</v>
      </c>
      <c r="D60" s="6">
        <v>5.585</v>
      </c>
      <c r="E60" s="1" t="s">
        <v>106</v>
      </c>
      <c r="F60" s="1" t="s">
        <v>107</v>
      </c>
      <c r="N60" s="5">
        <v>77</v>
      </c>
      <c r="O60" s="6">
        <v>1.8169999999999999</v>
      </c>
      <c r="P60" s="6">
        <v>1.8169999999999999</v>
      </c>
      <c r="Q60" s="10">
        <v>1.74</v>
      </c>
      <c r="R60" s="10">
        <f t="shared" si="1"/>
        <v>1.7999999999999998</v>
      </c>
      <c r="S60" s="10">
        <f t="shared" si="3"/>
        <v>0.50741304899720729</v>
      </c>
      <c r="T60" s="34">
        <f t="shared" si="2"/>
        <v>39.209190149784206</v>
      </c>
      <c r="U60" s="10">
        <f t="shared" si="4"/>
        <v>1.1537065244986036</v>
      </c>
      <c r="V60" s="10">
        <f t="shared" si="5"/>
        <v>1.2925869510027925</v>
      </c>
      <c r="W60">
        <f t="shared" si="6"/>
        <v>1.9388804265041888</v>
      </c>
      <c r="X60">
        <f t="shared" si="9"/>
        <v>2.2358653575554333</v>
      </c>
      <c r="Y60" s="15">
        <f>W60/3.3*1023</f>
        <v>601.05293221629859</v>
      </c>
      <c r="Z60" s="18">
        <f t="shared" si="8"/>
        <v>150.26323305407465</v>
      </c>
    </row>
    <row r="61" spans="1:26" ht="16.5" customHeight="1" x14ac:dyDescent="0.2">
      <c r="A61" s="5">
        <v>42</v>
      </c>
      <c r="B61" s="6">
        <v>5.484</v>
      </c>
      <c r="C61" s="6">
        <v>5.44</v>
      </c>
      <c r="D61" s="6">
        <v>5.3949999999999996</v>
      </c>
      <c r="E61" s="1" t="s">
        <v>104</v>
      </c>
      <c r="F61" s="1" t="s">
        <v>105</v>
      </c>
      <c r="N61" s="5">
        <v>78</v>
      </c>
      <c r="O61" s="6">
        <v>1.766</v>
      </c>
      <c r="P61" s="6">
        <v>1.766</v>
      </c>
      <c r="Q61" s="10">
        <v>1.66</v>
      </c>
      <c r="R61" s="10">
        <f t="shared" si="1"/>
        <v>1.7999999999999998</v>
      </c>
      <c r="S61" s="10">
        <f t="shared" si="3"/>
        <v>0.49530851606323301</v>
      </c>
      <c r="T61" s="34">
        <f t="shared" si="2"/>
        <v>38.273839877613462</v>
      </c>
      <c r="U61" s="10">
        <f t="shared" si="4"/>
        <v>1.1476542580316165</v>
      </c>
      <c r="V61" s="10">
        <f t="shared" si="5"/>
        <v>1.3046914839367667</v>
      </c>
      <c r="W61">
        <f t="shared" si="6"/>
        <v>1.9570372259051501</v>
      </c>
      <c r="X61">
        <f t="shared" si="9"/>
        <v>2.2241361589760009</v>
      </c>
      <c r="Y61" s="15">
        <f t="shared" si="7"/>
        <v>606.68154003059658</v>
      </c>
      <c r="Z61" s="18">
        <f t="shared" si="8"/>
        <v>151.67038500764914</v>
      </c>
    </row>
    <row r="62" spans="1:26" ht="16.5" customHeight="1" x14ac:dyDescent="0.2">
      <c r="A62" s="5">
        <v>43</v>
      </c>
      <c r="B62" s="6">
        <v>5.3</v>
      </c>
      <c r="C62" s="6">
        <v>5.2569999999999997</v>
      </c>
      <c r="D62" s="6">
        <v>5.2130000000000001</v>
      </c>
      <c r="E62" s="1" t="s">
        <v>99</v>
      </c>
      <c r="F62" s="1" t="s">
        <v>100</v>
      </c>
      <c r="N62" s="5">
        <v>79</v>
      </c>
      <c r="O62" s="6">
        <v>1.716</v>
      </c>
      <c r="P62" s="6">
        <v>1.716</v>
      </c>
      <c r="Q62" s="10">
        <v>1.58</v>
      </c>
      <c r="R62" s="10">
        <f t="shared" si="1"/>
        <v>1.7999999999999998</v>
      </c>
      <c r="S62" s="10">
        <f t="shared" si="3"/>
        <v>0.48333902355752817</v>
      </c>
      <c r="T62" s="34">
        <f t="shared" si="2"/>
        <v>37.348924547627178</v>
      </c>
      <c r="U62" s="10">
        <f t="shared" si="4"/>
        <v>1.1416695117787641</v>
      </c>
      <c r="V62" s="10">
        <f t="shared" si="5"/>
        <v>1.3166609764424717</v>
      </c>
      <c r="W62">
        <f t="shared" si="6"/>
        <v>1.9749914646637077</v>
      </c>
      <c r="X62">
        <f t="shared" si="9"/>
        <v>2.2125378135247367</v>
      </c>
      <c r="Y62" s="15">
        <f t="shared" si="7"/>
        <v>612.24735404574949</v>
      </c>
      <c r="Z62" s="18">
        <f t="shared" si="8"/>
        <v>153.06183851143737</v>
      </c>
    </row>
    <row r="63" spans="1:26" ht="16.5" customHeight="1" x14ac:dyDescent="0.2">
      <c r="A63" s="5">
        <v>44</v>
      </c>
      <c r="B63" s="6">
        <v>5.1239999999999997</v>
      </c>
      <c r="C63" s="6">
        <v>5.0810000000000004</v>
      </c>
      <c r="D63" s="6">
        <v>5.0380000000000003</v>
      </c>
      <c r="E63" s="1" t="s">
        <v>99</v>
      </c>
      <c r="F63" s="1" t="s">
        <v>100</v>
      </c>
      <c r="N63" s="5">
        <v>80</v>
      </c>
      <c r="O63" s="6">
        <v>1.669</v>
      </c>
      <c r="P63" s="6">
        <v>1.669</v>
      </c>
      <c r="Q63" s="10">
        <v>1.5</v>
      </c>
      <c r="R63" s="10">
        <f t="shared" si="1"/>
        <v>1.7999999999999998</v>
      </c>
      <c r="S63" s="10">
        <f t="shared" si="3"/>
        <v>0.47199417259405257</v>
      </c>
      <c r="T63" s="34">
        <f t="shared" si="2"/>
        <v>36.472276973176797</v>
      </c>
      <c r="U63" s="10">
        <f t="shared" si="4"/>
        <v>1.1359970862970261</v>
      </c>
      <c r="V63" s="10">
        <f>R63-S63</f>
        <v>1.3280058274059472</v>
      </c>
      <c r="W63">
        <f>V63*1.5</f>
        <v>1.9920087411089207</v>
      </c>
      <c r="X63">
        <f>U63/0.516</f>
        <v>2.2015447408857094</v>
      </c>
      <c r="Y63" s="15">
        <f>W63/3.3*1023</f>
        <v>617.5227097437654</v>
      </c>
      <c r="Z63" s="18">
        <f t="shared" si="8"/>
        <v>154.38067743594135</v>
      </c>
    </row>
    <row r="64" spans="1:26" ht="16.5" customHeight="1" x14ac:dyDescent="0.2">
      <c r="A64" s="5">
        <v>45</v>
      </c>
      <c r="B64" s="6">
        <v>4.9550000000000001</v>
      </c>
      <c r="C64" s="6">
        <v>4.9119999999999999</v>
      </c>
      <c r="D64" s="6">
        <v>4.87</v>
      </c>
      <c r="E64" s="1" t="s">
        <v>93</v>
      </c>
      <c r="F64" s="1" t="s">
        <v>95</v>
      </c>
      <c r="N64" s="5">
        <v>81</v>
      </c>
      <c r="O64" s="6">
        <v>1.6220000000000001</v>
      </c>
      <c r="P64" s="6">
        <v>1.6220000000000001</v>
      </c>
      <c r="Q64" s="10"/>
      <c r="R64" s="10">
        <f t="shared" si="1"/>
        <v>1.7999999999999998</v>
      </c>
      <c r="S64" s="10">
        <f t="shared" ref="S64:S68" si="10">O64*3.3/(P64+10)</f>
        <v>0.46055756324212699</v>
      </c>
      <c r="U64" s="10">
        <f t="shared" si="4"/>
        <v>1.1302787816210633</v>
      </c>
      <c r="V64" s="10">
        <f>R64-S64</f>
        <v>1.3394424367578728</v>
      </c>
      <c r="W64">
        <f t="shared" si="6"/>
        <v>2.0091636551368093</v>
      </c>
      <c r="X64">
        <f>U64/0.516</f>
        <v>2.1904627550795799</v>
      </c>
      <c r="Y64" s="15">
        <f>W64/3.3*1023</f>
        <v>622.84073309241091</v>
      </c>
      <c r="Z64" s="18">
        <f>Y64/4</f>
        <v>155.71018327310273</v>
      </c>
    </row>
    <row r="65" spans="1:26" ht="16.5" customHeight="1" x14ac:dyDescent="0.2">
      <c r="A65" s="5">
        <v>46</v>
      </c>
      <c r="B65" s="6">
        <v>4.7919999999999998</v>
      </c>
      <c r="C65" s="6">
        <v>4.75</v>
      </c>
      <c r="D65" s="6">
        <v>4.7080000000000002</v>
      </c>
      <c r="E65" s="1" t="s">
        <v>91</v>
      </c>
      <c r="F65" s="1" t="s">
        <v>89</v>
      </c>
      <c r="N65" s="5">
        <v>82</v>
      </c>
      <c r="O65" s="6">
        <v>1.577</v>
      </c>
      <c r="P65" s="6">
        <v>1.577</v>
      </c>
      <c r="R65" s="10">
        <f t="shared" si="1"/>
        <v>1.7999999999999998</v>
      </c>
      <c r="S65" s="10">
        <f t="shared" si="10"/>
        <v>0.44952060119201864</v>
      </c>
      <c r="U65" s="10">
        <f t="shared" si="4"/>
        <v>1.1247603005960092</v>
      </c>
      <c r="V65" s="10">
        <f t="shared" ref="V65:V83" si="11">R65-S65</f>
        <v>1.3504793988079813</v>
      </c>
      <c r="W65">
        <f t="shared" si="6"/>
        <v>2.0257190982119719</v>
      </c>
      <c r="X65">
        <f t="shared" ref="X65:X83" si="12">U65/0.516</f>
        <v>2.1797680244108704</v>
      </c>
      <c r="Y65" s="15">
        <f t="shared" si="7"/>
        <v>627.97292044571134</v>
      </c>
      <c r="Z65" s="18">
        <f t="shared" si="8"/>
        <v>156.99323011142783</v>
      </c>
    </row>
    <row r="66" spans="1:26" ht="16.5" customHeight="1" x14ac:dyDescent="0.2">
      <c r="A66" s="5">
        <v>47</v>
      </c>
      <c r="B66" s="6">
        <v>4.6360000000000001</v>
      </c>
      <c r="C66" s="6">
        <v>4.5940000000000003</v>
      </c>
      <c r="D66" s="6">
        <v>4.5529999999999999</v>
      </c>
      <c r="E66" s="1" t="s">
        <v>91</v>
      </c>
      <c r="F66" s="1" t="s">
        <v>89</v>
      </c>
      <c r="N66" s="5">
        <v>83</v>
      </c>
      <c r="O66" s="6">
        <v>1.534</v>
      </c>
      <c r="P66" s="6">
        <v>1.534</v>
      </c>
      <c r="R66" s="10">
        <f t="shared" si="1"/>
        <v>1.7999999999999998</v>
      </c>
      <c r="S66" s="10">
        <f t="shared" si="10"/>
        <v>0.4388937055661522</v>
      </c>
      <c r="U66" s="10">
        <f t="shared" si="4"/>
        <v>1.1194468527830761</v>
      </c>
      <c r="V66" s="10">
        <f t="shared" si="11"/>
        <v>1.3611062944338477</v>
      </c>
      <c r="W66">
        <f t="shared" si="6"/>
        <v>2.0416594416507716</v>
      </c>
      <c r="X66">
        <f t="shared" si="12"/>
        <v>2.1694706449284418</v>
      </c>
      <c r="Y66" s="15">
        <f t="shared" si="7"/>
        <v>632.91442691173927</v>
      </c>
      <c r="Z66" s="18">
        <f t="shared" si="8"/>
        <v>158.22860672793482</v>
      </c>
    </row>
    <row r="67" spans="1:26" ht="16.5" customHeight="1" x14ac:dyDescent="0.2">
      <c r="A67" s="5">
        <v>48</v>
      </c>
      <c r="B67" s="6">
        <v>4.4850000000000003</v>
      </c>
      <c r="C67" s="6">
        <v>4.444</v>
      </c>
      <c r="D67" s="6">
        <v>4.4039999999999999</v>
      </c>
      <c r="E67" s="1" t="s">
        <v>85</v>
      </c>
      <c r="F67" s="1" t="s">
        <v>86</v>
      </c>
      <c r="N67" s="5">
        <v>84</v>
      </c>
      <c r="O67" s="6">
        <v>1.492</v>
      </c>
      <c r="P67" s="6">
        <v>1.492</v>
      </c>
      <c r="R67" s="10">
        <f t="shared" si="1"/>
        <v>1.7999999999999998</v>
      </c>
      <c r="S67" s="10">
        <f t="shared" si="10"/>
        <v>0.42843717368604239</v>
      </c>
      <c r="U67" s="10">
        <f t="shared" si="4"/>
        <v>1.114218586843021</v>
      </c>
      <c r="V67" s="10">
        <f t="shared" si="11"/>
        <v>1.3715628263139574</v>
      </c>
      <c r="W67">
        <f t="shared" si="6"/>
        <v>2.057344239470936</v>
      </c>
      <c r="X67">
        <f t="shared" si="12"/>
        <v>2.159338346595002</v>
      </c>
      <c r="Y67" s="15">
        <f t="shared" si="7"/>
        <v>637.7767142359902</v>
      </c>
      <c r="Z67" s="18">
        <f t="shared" si="8"/>
        <v>159.44417855899755</v>
      </c>
    </row>
    <row r="68" spans="1:26" ht="16.5" customHeight="1" x14ac:dyDescent="0.2">
      <c r="A68" s="5">
        <v>49</v>
      </c>
      <c r="B68" s="6">
        <v>4.34</v>
      </c>
      <c r="C68" s="6">
        <v>4.3</v>
      </c>
      <c r="D68" s="6">
        <v>4.26</v>
      </c>
      <c r="E68" s="1" t="s">
        <v>79</v>
      </c>
      <c r="F68" s="1" t="s">
        <v>80</v>
      </c>
      <c r="N68" s="5">
        <v>85</v>
      </c>
      <c r="O68" s="6">
        <v>1.4510000000000001</v>
      </c>
      <c r="P68" s="6">
        <v>1.4510000000000001</v>
      </c>
      <c r="R68" s="10">
        <f t="shared" ref="R68:R83" si="13">(12*3.3/(10+12))</f>
        <v>1.7999999999999998</v>
      </c>
      <c r="S68" s="10">
        <f t="shared" si="10"/>
        <v>0.41815561959654174</v>
      </c>
      <c r="U68" s="10">
        <f t="shared" si="4"/>
        <v>1.1090778097982708</v>
      </c>
      <c r="V68" s="10">
        <f t="shared" si="11"/>
        <v>1.3818443804034581</v>
      </c>
      <c r="W68">
        <f t="shared" si="6"/>
        <v>2.0727665706051872</v>
      </c>
      <c r="X68">
        <f t="shared" si="12"/>
        <v>2.1493756003842455</v>
      </c>
      <c r="Y68" s="15">
        <f t="shared" ref="Y68:Y83" si="14">W68/3.3*1023</f>
        <v>642.55763688760806</v>
      </c>
      <c r="Z68" s="18">
        <f t="shared" si="8"/>
        <v>160.63940922190201</v>
      </c>
    </row>
    <row r="69" spans="1:26" ht="16.5" customHeight="1" x14ac:dyDescent="0.2">
      <c r="A69" s="5">
        <v>50</v>
      </c>
      <c r="B69" s="6">
        <v>4.2009999999999996</v>
      </c>
      <c r="C69" s="6">
        <v>4.1619999999999999</v>
      </c>
      <c r="D69" s="6">
        <v>4.1219999999999999</v>
      </c>
      <c r="E69" s="1" t="s">
        <v>79</v>
      </c>
      <c r="F69" s="1" t="s">
        <v>80</v>
      </c>
      <c r="N69" s="5">
        <v>86</v>
      </c>
      <c r="O69" s="6">
        <v>1.4119999999999999</v>
      </c>
      <c r="P69" s="6">
        <v>1.4119999999999999</v>
      </c>
      <c r="R69" s="10">
        <f t="shared" si="13"/>
        <v>1.7999999999999998</v>
      </c>
      <c r="S69" s="10">
        <f t="shared" ref="S69:S75" si="15">O69*3.3/(P69+10)</f>
        <v>0.40830704521556255</v>
      </c>
      <c r="U69" s="10">
        <f t="shared" si="4"/>
        <v>1.1041535226077812</v>
      </c>
      <c r="V69" s="10">
        <f t="shared" si="11"/>
        <v>1.3916929547844372</v>
      </c>
      <c r="W69">
        <f t="shared" ref="W69:W83" si="16">V69*1.5</f>
        <v>2.0875394321766558</v>
      </c>
      <c r="X69">
        <f t="shared" si="12"/>
        <v>2.1398324081546147</v>
      </c>
      <c r="Y69" s="15">
        <f t="shared" si="14"/>
        <v>647.1372239747634</v>
      </c>
      <c r="Z69" s="18">
        <f t="shared" ref="Z69:Z83" si="17">Y69/4</f>
        <v>161.78430599369085</v>
      </c>
    </row>
    <row r="70" spans="1:26" ht="16.5" customHeight="1" x14ac:dyDescent="0.2">
      <c r="A70" s="5">
        <v>51</v>
      </c>
      <c r="B70" s="6">
        <v>4.0659999999999998</v>
      </c>
      <c r="C70" s="6">
        <v>4.0270000000000001</v>
      </c>
      <c r="D70" s="6">
        <v>3.988</v>
      </c>
      <c r="E70" s="1" t="s">
        <v>74</v>
      </c>
      <c r="F70" s="1" t="s">
        <v>75</v>
      </c>
      <c r="N70" s="5">
        <v>87</v>
      </c>
      <c r="O70" s="6">
        <v>1.3740000000000001</v>
      </c>
      <c r="P70" s="6">
        <v>1.3740000000000001</v>
      </c>
      <c r="R70" s="10">
        <f t="shared" si="13"/>
        <v>1.7999999999999998</v>
      </c>
      <c r="S70" s="10">
        <f t="shared" si="15"/>
        <v>0.39864603481624761</v>
      </c>
      <c r="U70" s="10">
        <f t="shared" ref="U70:U83" si="18">(R70+S70)/2</f>
        <v>1.0993230174081237</v>
      </c>
      <c r="V70" s="10">
        <f t="shared" si="11"/>
        <v>1.4013539651837523</v>
      </c>
      <c r="W70">
        <f t="shared" si="16"/>
        <v>2.1020309477756287</v>
      </c>
      <c r="X70">
        <f t="shared" si="12"/>
        <v>2.1304709639692319</v>
      </c>
      <c r="Y70" s="15">
        <f t="shared" si="14"/>
        <v>651.62959381044493</v>
      </c>
      <c r="Z70" s="18">
        <f t="shared" si="17"/>
        <v>162.90739845261123</v>
      </c>
    </row>
    <row r="71" spans="1:26" ht="16.5" customHeight="1" x14ac:dyDescent="0.2">
      <c r="A71" s="5">
        <v>52</v>
      </c>
      <c r="B71" s="6">
        <v>3.9359999999999999</v>
      </c>
      <c r="C71" s="6">
        <v>3.8969999999999998</v>
      </c>
      <c r="D71" s="6">
        <v>3.859</v>
      </c>
      <c r="E71" s="1" t="s">
        <v>74</v>
      </c>
      <c r="F71" s="1" t="s">
        <v>75</v>
      </c>
      <c r="N71" s="13">
        <v>88</v>
      </c>
      <c r="O71" s="14">
        <v>1.337</v>
      </c>
      <c r="P71" s="14">
        <v>1.337</v>
      </c>
      <c r="Q71" s="11"/>
      <c r="R71" s="60">
        <f t="shared" si="13"/>
        <v>1.7999999999999998</v>
      </c>
      <c r="S71" s="60">
        <f t="shared" si="15"/>
        <v>0.38917703096057155</v>
      </c>
      <c r="T71" s="11"/>
      <c r="U71" s="60">
        <f t="shared" si="18"/>
        <v>1.0945885154802857</v>
      </c>
      <c r="V71" s="60">
        <f t="shared" si="11"/>
        <v>1.4108229690394283</v>
      </c>
      <c r="W71" s="11">
        <f t="shared" si="16"/>
        <v>2.1162344535591426</v>
      </c>
      <c r="X71" s="11">
        <f t="shared" si="12"/>
        <v>2.1212955726362126</v>
      </c>
      <c r="Y71" s="16">
        <f>W71/3.3*1023</f>
        <v>656.03268060333426</v>
      </c>
      <c r="Z71" s="16">
        <f t="shared" si="17"/>
        <v>164.00817015083356</v>
      </c>
    </row>
    <row r="72" spans="1:26" ht="16.5" customHeight="1" x14ac:dyDescent="0.2">
      <c r="A72" s="5">
        <v>53</v>
      </c>
      <c r="B72" s="6">
        <v>3.8109999999999999</v>
      </c>
      <c r="C72" s="6">
        <v>3.7730000000000001</v>
      </c>
      <c r="D72" s="6">
        <v>3.7349999999999999</v>
      </c>
      <c r="E72" s="1" t="s">
        <v>70</v>
      </c>
      <c r="F72" s="1" t="s">
        <v>71</v>
      </c>
      <c r="N72" s="61">
        <v>89</v>
      </c>
      <c r="O72" s="62">
        <v>1.3009999999999999</v>
      </c>
      <c r="P72" s="62">
        <v>1.3009999999999999</v>
      </c>
      <c r="Q72" s="63"/>
      <c r="R72" s="64">
        <f t="shared" si="13"/>
        <v>1.7999999999999998</v>
      </c>
      <c r="S72" s="64">
        <f t="shared" si="15"/>
        <v>0.37990443323599676</v>
      </c>
      <c r="T72" s="63"/>
      <c r="U72" s="64">
        <f t="shared" si="18"/>
        <v>1.0899522166179982</v>
      </c>
      <c r="V72" s="64">
        <f t="shared" si="11"/>
        <v>1.4200955667640032</v>
      </c>
      <c r="W72" s="63">
        <f t="shared" si="16"/>
        <v>2.130143350146005</v>
      </c>
      <c r="X72" s="63">
        <f t="shared" si="12"/>
        <v>2.112310497321702</v>
      </c>
      <c r="Y72" s="65">
        <f t="shared" si="14"/>
        <v>660.3444385452616</v>
      </c>
      <c r="Z72" s="65">
        <f t="shared" si="17"/>
        <v>165.0861096363154</v>
      </c>
    </row>
    <row r="73" spans="1:26" ht="16.5" customHeight="1" x14ac:dyDescent="0.2">
      <c r="A73" s="5">
        <v>54</v>
      </c>
      <c r="B73" s="6">
        <v>3.69</v>
      </c>
      <c r="C73" s="6">
        <v>3.653</v>
      </c>
      <c r="D73" s="6">
        <v>3.6160000000000001</v>
      </c>
      <c r="E73" s="1" t="s">
        <v>64</v>
      </c>
      <c r="F73" s="1" t="s">
        <v>65</v>
      </c>
      <c r="N73" s="61">
        <v>90</v>
      </c>
      <c r="O73" s="62">
        <v>1.266</v>
      </c>
      <c r="P73" s="62">
        <v>1.266</v>
      </c>
      <c r="Q73" s="63"/>
      <c r="R73" s="64">
        <f t="shared" si="13"/>
        <v>1.7999999999999998</v>
      </c>
      <c r="S73" s="64">
        <f t="shared" si="15"/>
        <v>0.37083259364459431</v>
      </c>
      <c r="T73" s="63"/>
      <c r="U73" s="64">
        <f t="shared" si="18"/>
        <v>1.0854162968222971</v>
      </c>
      <c r="V73" s="64">
        <f t="shared" si="11"/>
        <v>1.4291674063554054</v>
      </c>
      <c r="W73" s="63">
        <f t="shared" si="16"/>
        <v>2.1437511095331079</v>
      </c>
      <c r="X73" s="63">
        <f t="shared" si="12"/>
        <v>2.1035199550819712</v>
      </c>
      <c r="Y73" s="65">
        <f t="shared" si="14"/>
        <v>664.56284395526347</v>
      </c>
      <c r="Z73" s="65">
        <f t="shared" si="17"/>
        <v>166.14071098881587</v>
      </c>
    </row>
    <row r="74" spans="1:26" ht="16.5" customHeight="1" x14ac:dyDescent="0.2">
      <c r="A74" s="5">
        <v>55</v>
      </c>
      <c r="B74" s="6">
        <v>3.5739999999999998</v>
      </c>
      <c r="C74" s="6">
        <v>3.5369999999999999</v>
      </c>
      <c r="D74" s="6">
        <v>3.5009999999999999</v>
      </c>
      <c r="E74" s="1" t="s">
        <v>64</v>
      </c>
      <c r="F74" s="1" t="s">
        <v>65</v>
      </c>
      <c r="N74" s="61">
        <v>91</v>
      </c>
      <c r="O74" s="62">
        <v>1.2330000000000001</v>
      </c>
      <c r="P74" s="62">
        <v>1.2330000000000001</v>
      </c>
      <c r="Q74" s="63"/>
      <c r="R74" s="64">
        <f t="shared" si="13"/>
        <v>1.7999999999999998</v>
      </c>
      <c r="S74" s="64">
        <f t="shared" si="15"/>
        <v>0.36222736579720466</v>
      </c>
      <c r="T74" s="63"/>
      <c r="U74" s="64">
        <f t="shared" si="18"/>
        <v>1.0811136828986023</v>
      </c>
      <c r="V74" s="64">
        <f t="shared" si="11"/>
        <v>1.4377726342027952</v>
      </c>
      <c r="W74" s="63">
        <f t="shared" si="16"/>
        <v>2.1566589513041929</v>
      </c>
      <c r="X74" s="63">
        <f t="shared" si="12"/>
        <v>2.0951815560050431</v>
      </c>
      <c r="Y74" s="65">
        <f t="shared" si="14"/>
        <v>668.56427490429985</v>
      </c>
      <c r="Z74" s="65">
        <f t="shared" si="17"/>
        <v>167.14106872607496</v>
      </c>
    </row>
    <row r="75" spans="1:26" ht="16.5" customHeight="1" x14ac:dyDescent="0.2">
      <c r="A75" s="5">
        <v>56</v>
      </c>
      <c r="B75" s="6">
        <v>3.4620000000000002</v>
      </c>
      <c r="C75" s="6">
        <v>3.4260000000000002</v>
      </c>
      <c r="D75" s="6">
        <v>3.391</v>
      </c>
      <c r="E75" s="1" t="s">
        <v>58</v>
      </c>
      <c r="F75" s="1" t="s">
        <v>59</v>
      </c>
      <c r="N75" s="61">
        <v>92</v>
      </c>
      <c r="O75" s="62">
        <v>1.2</v>
      </c>
      <c r="P75" s="62">
        <v>1.2</v>
      </c>
      <c r="Q75" s="63"/>
      <c r="R75" s="64">
        <f t="shared" si="13"/>
        <v>1.7999999999999998</v>
      </c>
      <c r="S75" s="64">
        <f t="shared" si="15"/>
        <v>0.35357142857142854</v>
      </c>
      <c r="T75" s="63"/>
      <c r="U75" s="64">
        <f t="shared" si="18"/>
        <v>1.0767857142857142</v>
      </c>
      <c r="V75" s="64">
        <f t="shared" si="11"/>
        <v>1.4464285714285712</v>
      </c>
      <c r="W75" s="63">
        <f t="shared" si="16"/>
        <v>2.1696428571428568</v>
      </c>
      <c r="X75" s="63">
        <f t="shared" si="12"/>
        <v>2.0867940199335546</v>
      </c>
      <c r="Y75" s="65">
        <f t="shared" si="14"/>
        <v>672.58928571428567</v>
      </c>
      <c r="Z75" s="65">
        <f t="shared" si="17"/>
        <v>168.14732142857142</v>
      </c>
    </row>
    <row r="76" spans="1:26" ht="16.5" customHeight="1" x14ac:dyDescent="0.2">
      <c r="A76" s="5">
        <v>57</v>
      </c>
      <c r="B76" s="6">
        <v>3.355</v>
      </c>
      <c r="C76" s="6">
        <v>3.319</v>
      </c>
      <c r="D76" s="6">
        <v>3.2839999999999998</v>
      </c>
      <c r="E76" s="1" t="s">
        <v>54</v>
      </c>
      <c r="F76" s="1" t="s">
        <v>56</v>
      </c>
      <c r="N76" s="61">
        <v>93</v>
      </c>
      <c r="O76" s="62">
        <v>1.169</v>
      </c>
      <c r="P76" s="62">
        <v>1.169</v>
      </c>
      <c r="Q76" s="63"/>
      <c r="R76" s="64">
        <f t="shared" si="13"/>
        <v>1.7999999999999998</v>
      </c>
      <c r="S76" s="64">
        <f t="shared" ref="S76:S83" si="19">O76*3.3/(P76+10)</f>
        <v>0.34539349986569967</v>
      </c>
      <c r="T76" s="63"/>
      <c r="U76" s="64">
        <f t="shared" si="18"/>
        <v>1.0726967499328497</v>
      </c>
      <c r="V76" s="64">
        <f t="shared" si="11"/>
        <v>1.4546065001343003</v>
      </c>
      <c r="W76" s="63">
        <f t="shared" si="16"/>
        <v>2.1819097502014504</v>
      </c>
      <c r="X76" s="63">
        <f t="shared" si="12"/>
        <v>2.0788696704124994</v>
      </c>
      <c r="Y76" s="65">
        <f t="shared" si="14"/>
        <v>676.3920225624496</v>
      </c>
      <c r="Z76" s="65">
        <f t="shared" si="17"/>
        <v>169.0980056406124</v>
      </c>
    </row>
    <row r="77" spans="1:26" ht="16.5" customHeight="1" x14ac:dyDescent="0.2">
      <c r="A77" s="5">
        <v>58</v>
      </c>
      <c r="B77" s="6">
        <v>3.2509999999999999</v>
      </c>
      <c r="C77" s="6">
        <v>3.2160000000000002</v>
      </c>
      <c r="D77" s="6">
        <v>3.1819999999999999</v>
      </c>
      <c r="E77" s="1" t="s">
        <v>54</v>
      </c>
      <c r="F77" s="1" t="s">
        <v>49</v>
      </c>
      <c r="N77" s="67">
        <v>94</v>
      </c>
      <c r="O77" s="68">
        <v>1.1379999999999999</v>
      </c>
      <c r="P77" s="68">
        <v>1.1379999999999999</v>
      </c>
      <c r="Q77" s="69"/>
      <c r="R77" s="64">
        <f t="shared" si="13"/>
        <v>1.7999999999999998</v>
      </c>
      <c r="S77" s="64">
        <f t="shared" si="19"/>
        <v>0.3371700484826719</v>
      </c>
      <c r="T77" s="69"/>
      <c r="U77" s="64">
        <f t="shared" si="18"/>
        <v>1.0685850242413359</v>
      </c>
      <c r="V77" s="64">
        <f t="shared" si="11"/>
        <v>1.462829951517328</v>
      </c>
      <c r="W77" s="69">
        <f t="shared" si="16"/>
        <v>2.1942449272759919</v>
      </c>
      <c r="X77" s="63">
        <f t="shared" si="12"/>
        <v>2.0709012097700308</v>
      </c>
      <c r="Y77" s="70">
        <f>W77/3.3*1023</f>
        <v>680.21592745555745</v>
      </c>
      <c r="Z77" s="70">
        <f t="shared" si="17"/>
        <v>170.05398186388936</v>
      </c>
    </row>
    <row r="78" spans="1:26" ht="16.5" customHeight="1" x14ac:dyDescent="0.2">
      <c r="A78" s="5">
        <v>59</v>
      </c>
      <c r="B78" s="6">
        <v>3.1520000000000001</v>
      </c>
      <c r="C78" s="6">
        <v>3.117</v>
      </c>
      <c r="D78" s="6">
        <v>3.0830000000000002</v>
      </c>
      <c r="E78" s="1" t="s">
        <v>48</v>
      </c>
      <c r="F78" s="1" t="s">
        <v>49</v>
      </c>
      <c r="N78" s="61">
        <v>95</v>
      </c>
      <c r="O78" s="62">
        <v>1.1080000000000001</v>
      </c>
      <c r="P78" s="62">
        <v>1.1080000000000001</v>
      </c>
      <c r="Q78" s="63"/>
      <c r="R78" s="64">
        <f t="shared" si="13"/>
        <v>1.7999999999999998</v>
      </c>
      <c r="S78" s="64">
        <f t="shared" si="19"/>
        <v>0.32916816708678431</v>
      </c>
      <c r="T78" s="63"/>
      <c r="U78" s="64">
        <f t="shared" si="18"/>
        <v>1.0645840835433922</v>
      </c>
      <c r="V78" s="64">
        <f t="shared" si="11"/>
        <v>1.4708318329132155</v>
      </c>
      <c r="W78" s="63">
        <f t="shared" si="16"/>
        <v>2.2062477493698234</v>
      </c>
      <c r="X78" s="63">
        <f t="shared" si="12"/>
        <v>2.0631474487275043</v>
      </c>
      <c r="Y78" s="65">
        <f t="shared" si="14"/>
        <v>683.93680230464531</v>
      </c>
      <c r="Z78" s="65">
        <f t="shared" si="17"/>
        <v>170.98420057616133</v>
      </c>
    </row>
    <row r="79" spans="1:26" ht="16.5" customHeight="1" x14ac:dyDescent="0.2">
      <c r="A79" s="5">
        <v>60</v>
      </c>
      <c r="B79" s="6">
        <v>3.0550000000000002</v>
      </c>
      <c r="C79" s="6">
        <v>3.0219999999999998</v>
      </c>
      <c r="D79" s="6">
        <v>2.988</v>
      </c>
      <c r="E79" s="1" t="s">
        <v>43</v>
      </c>
      <c r="F79" s="1" t="s">
        <v>41</v>
      </c>
      <c r="N79" s="61">
        <v>96</v>
      </c>
      <c r="O79" s="62">
        <v>1.08</v>
      </c>
      <c r="P79" s="62">
        <v>1.08</v>
      </c>
      <c r="Q79" s="63"/>
      <c r="R79" s="64">
        <f t="shared" si="13"/>
        <v>1.7999999999999998</v>
      </c>
      <c r="S79" s="64">
        <f t="shared" si="19"/>
        <v>0.3216606498194946</v>
      </c>
      <c r="T79" s="63"/>
      <c r="U79" s="64">
        <f t="shared" si="18"/>
        <v>1.0608303249097473</v>
      </c>
      <c r="V79" s="64">
        <f t="shared" si="11"/>
        <v>1.4783393501805051</v>
      </c>
      <c r="W79" s="63">
        <f t="shared" si="16"/>
        <v>2.2175090252707577</v>
      </c>
      <c r="X79" s="63">
        <f t="shared" si="12"/>
        <v>2.0558727226933087</v>
      </c>
      <c r="Y79" s="65">
        <f t="shared" si="14"/>
        <v>687.42779783393485</v>
      </c>
      <c r="Z79" s="65">
        <f t="shared" si="17"/>
        <v>171.85694945848371</v>
      </c>
    </row>
    <row r="80" spans="1:26" ht="16.5" customHeight="1" x14ac:dyDescent="0.2">
      <c r="A80" s="5">
        <v>61</v>
      </c>
      <c r="B80" s="6">
        <v>2.9620000000000002</v>
      </c>
      <c r="C80" s="6">
        <v>2.9289999999999998</v>
      </c>
      <c r="D80" s="6">
        <v>2.8959999999999999</v>
      </c>
      <c r="E80" s="1" t="s">
        <v>43</v>
      </c>
      <c r="F80" s="1" t="s">
        <v>41</v>
      </c>
      <c r="N80" s="61">
        <v>97</v>
      </c>
      <c r="O80" s="62">
        <v>1.052</v>
      </c>
      <c r="P80" s="62">
        <v>1.052</v>
      </c>
      <c r="Q80" s="63"/>
      <c r="R80" s="64">
        <f t="shared" si="13"/>
        <v>1.7999999999999998</v>
      </c>
      <c r="S80" s="64">
        <f t="shared" si="19"/>
        <v>0.31411509229098805</v>
      </c>
      <c r="T80" s="63"/>
      <c r="U80" s="64">
        <f t="shared" si="18"/>
        <v>1.0570575461454939</v>
      </c>
      <c r="V80" s="64">
        <f t="shared" si="11"/>
        <v>1.4858849077090117</v>
      </c>
      <c r="W80" s="63">
        <f t="shared" si="16"/>
        <v>2.2288273615635177</v>
      </c>
      <c r="X80" s="63">
        <f t="shared" si="12"/>
        <v>2.0485611359408793</v>
      </c>
      <c r="Y80" s="65">
        <f t="shared" si="14"/>
        <v>690.93648208469051</v>
      </c>
      <c r="Z80" s="65">
        <f t="shared" si="17"/>
        <v>172.73412052117263</v>
      </c>
    </row>
    <row r="81" spans="1:26" ht="16.5" customHeight="1" x14ac:dyDescent="0.2">
      <c r="A81" s="5">
        <v>62</v>
      </c>
      <c r="B81" s="6">
        <v>2.8719999999999999</v>
      </c>
      <c r="C81" s="6">
        <v>2.839</v>
      </c>
      <c r="D81" s="6">
        <v>2.8069999999999999</v>
      </c>
      <c r="E81" s="1" t="s">
        <v>40</v>
      </c>
      <c r="F81" s="1" t="s">
        <v>126</v>
      </c>
      <c r="N81" s="61">
        <v>98</v>
      </c>
      <c r="O81" s="62">
        <v>1.0249999999999999</v>
      </c>
      <c r="P81" s="62">
        <v>1.0249999999999999</v>
      </c>
      <c r="Q81" s="63"/>
      <c r="R81" s="64">
        <f t="shared" si="13"/>
        <v>1.7999999999999998</v>
      </c>
      <c r="S81" s="64">
        <f t="shared" si="19"/>
        <v>0.30680272108843532</v>
      </c>
      <c r="T81" s="63"/>
      <c r="U81" s="64">
        <f t="shared" si="18"/>
        <v>1.0534013605442176</v>
      </c>
      <c r="V81" s="64">
        <f t="shared" si="11"/>
        <v>1.4931972789115644</v>
      </c>
      <c r="W81" s="63">
        <f t="shared" si="16"/>
        <v>2.2397959183673466</v>
      </c>
      <c r="X81" s="63">
        <f t="shared" si="12"/>
        <v>2.0414755049306543</v>
      </c>
      <c r="Y81" s="65">
        <f t="shared" si="14"/>
        <v>694.33673469387747</v>
      </c>
      <c r="Z81" s="65">
        <f t="shared" si="17"/>
        <v>173.58418367346937</v>
      </c>
    </row>
    <row r="82" spans="1:26" ht="16.5" customHeight="1" x14ac:dyDescent="0.2">
      <c r="A82" s="5">
        <v>63</v>
      </c>
      <c r="B82" s="6">
        <v>2.7850000000000001</v>
      </c>
      <c r="C82" s="6">
        <v>2.7530000000000001</v>
      </c>
      <c r="D82" s="6">
        <v>2.7210000000000001</v>
      </c>
      <c r="E82" s="1" t="s">
        <v>32</v>
      </c>
      <c r="F82" s="1" t="s">
        <v>34</v>
      </c>
      <c r="N82" s="61">
        <v>99</v>
      </c>
      <c r="O82" s="66">
        <v>0.999</v>
      </c>
      <c r="P82" s="66">
        <v>0.999</v>
      </c>
      <c r="Q82" s="63"/>
      <c r="R82" s="64">
        <f t="shared" si="13"/>
        <v>1.7999999999999998</v>
      </c>
      <c r="S82" s="64">
        <f t="shared" si="19"/>
        <v>0.29972724793163014</v>
      </c>
      <c r="T82" s="63"/>
      <c r="U82" s="64">
        <f t="shared" si="18"/>
        <v>1.049863623965815</v>
      </c>
      <c r="V82" s="64">
        <f t="shared" si="11"/>
        <v>1.5002727520683696</v>
      </c>
      <c r="W82" s="63">
        <f t="shared" si="16"/>
        <v>2.2504091281025547</v>
      </c>
      <c r="X82" s="63">
        <f t="shared" si="12"/>
        <v>2.0346194262903392</v>
      </c>
      <c r="Y82" s="65">
        <f t="shared" si="14"/>
        <v>697.62682971179197</v>
      </c>
      <c r="Z82" s="65">
        <f t="shared" si="17"/>
        <v>174.40670742794799</v>
      </c>
    </row>
    <row r="83" spans="1:26" ht="16.5" customHeight="1" x14ac:dyDescent="0.2">
      <c r="A83" s="5">
        <v>64</v>
      </c>
      <c r="B83" s="6">
        <v>2.7010000000000001</v>
      </c>
      <c r="C83" s="6">
        <v>2.67</v>
      </c>
      <c r="D83" s="6">
        <v>2.6379999999999999</v>
      </c>
      <c r="E83" s="1" t="s">
        <v>32</v>
      </c>
      <c r="F83" s="1" t="s">
        <v>26</v>
      </c>
      <c r="N83" s="61">
        <v>100</v>
      </c>
      <c r="O83" s="66">
        <v>0.97370000000000001</v>
      </c>
      <c r="P83" s="66">
        <v>0.97370000000000001</v>
      </c>
      <c r="Q83" s="63"/>
      <c r="R83" s="64">
        <f t="shared" si="13"/>
        <v>1.7999999999999998</v>
      </c>
      <c r="S83" s="64">
        <f t="shared" si="19"/>
        <v>0.29281008228765132</v>
      </c>
      <c r="T83" s="63"/>
      <c r="U83" s="64">
        <f t="shared" si="18"/>
        <v>1.0464050411438255</v>
      </c>
      <c r="V83" s="64">
        <f t="shared" si="11"/>
        <v>1.5071899177123484</v>
      </c>
      <c r="W83" s="63">
        <f>V83*1.5</f>
        <v>2.2607848765685228</v>
      </c>
      <c r="X83" s="63">
        <f t="shared" si="12"/>
        <v>2.0279167464027625</v>
      </c>
      <c r="Y83" s="65">
        <f t="shared" si="14"/>
        <v>700.84331173624207</v>
      </c>
      <c r="Z83" s="65">
        <f t="shared" si="17"/>
        <v>175.21082793406052</v>
      </c>
    </row>
    <row r="84" spans="1:26" ht="16.5" customHeight="1" x14ac:dyDescent="0.2">
      <c r="A84" s="5">
        <v>65</v>
      </c>
      <c r="B84" s="6">
        <v>2.621</v>
      </c>
      <c r="C84" s="6">
        <v>2.589</v>
      </c>
      <c r="D84" s="6">
        <v>2.5590000000000002</v>
      </c>
      <c r="E84" s="1" t="s">
        <v>23</v>
      </c>
      <c r="F84" s="1" t="s">
        <v>26</v>
      </c>
    </row>
    <row r="85" spans="1:26" ht="16.5" customHeight="1" x14ac:dyDescent="0.2">
      <c r="A85" s="5">
        <v>66</v>
      </c>
      <c r="B85" s="6">
        <v>2.5430000000000001</v>
      </c>
      <c r="C85" s="6">
        <v>2.512</v>
      </c>
      <c r="D85" s="6">
        <v>2.4820000000000002</v>
      </c>
      <c r="E85" s="1" t="s">
        <v>13</v>
      </c>
      <c r="F85" s="1" t="s">
        <v>16</v>
      </c>
    </row>
    <row r="86" spans="1:26" ht="16.5" customHeight="1" x14ac:dyDescent="0.2">
      <c r="A86" s="5">
        <v>67</v>
      </c>
      <c r="B86" s="6">
        <v>2.468</v>
      </c>
      <c r="C86" s="6">
        <v>2.4380000000000002</v>
      </c>
      <c r="D86" s="6">
        <v>2.4079999999999999</v>
      </c>
      <c r="E86" s="1" t="s">
        <v>127</v>
      </c>
      <c r="F86" s="1" t="s">
        <v>14</v>
      </c>
    </row>
    <row r="87" spans="1:26" ht="16.5" customHeight="1" x14ac:dyDescent="0.2">
      <c r="A87" s="5">
        <v>68</v>
      </c>
      <c r="B87" s="6">
        <v>2.395</v>
      </c>
      <c r="C87" s="6">
        <v>2.3660000000000001</v>
      </c>
      <c r="D87" s="6">
        <v>2.3359999999999999</v>
      </c>
      <c r="E87" s="1" t="s">
        <v>127</v>
      </c>
      <c r="F87" s="1" t="s">
        <v>14</v>
      </c>
    </row>
    <row r="88" spans="1:26" ht="16.5" customHeight="1" x14ac:dyDescent="0.2">
      <c r="A88" s="5">
        <v>69</v>
      </c>
      <c r="B88" s="6">
        <v>2.3250000000000002</v>
      </c>
      <c r="C88" s="6">
        <v>2.2959999999999998</v>
      </c>
      <c r="D88" s="6">
        <v>2.2669999999999999</v>
      </c>
      <c r="E88" s="1" t="s">
        <v>128</v>
      </c>
      <c r="F88" s="1" t="s">
        <v>129</v>
      </c>
    </row>
    <row r="89" spans="1:26" ht="16.5" customHeight="1" x14ac:dyDescent="0.2">
      <c r="A89" s="5">
        <v>70</v>
      </c>
      <c r="B89" s="6">
        <v>2.258</v>
      </c>
      <c r="C89" s="6">
        <v>2.2290000000000001</v>
      </c>
      <c r="D89" s="6">
        <v>2.2010000000000001</v>
      </c>
      <c r="E89" s="1" t="s">
        <v>130</v>
      </c>
      <c r="F89" s="1" t="s">
        <v>131</v>
      </c>
    </row>
    <row r="90" spans="1:26" ht="16.5" customHeight="1" x14ac:dyDescent="0.2">
      <c r="A90" s="5">
        <v>71</v>
      </c>
      <c r="B90" s="6">
        <v>2.1920000000000002</v>
      </c>
      <c r="C90" s="6">
        <v>2.1640000000000001</v>
      </c>
      <c r="D90" s="6">
        <v>2.1360000000000001</v>
      </c>
      <c r="E90" s="1" t="s">
        <v>130</v>
      </c>
      <c r="F90" s="1" t="s">
        <v>131</v>
      </c>
    </row>
    <row r="91" spans="1:26" ht="16.5" customHeight="1" x14ac:dyDescent="0.2">
      <c r="A91" s="5">
        <v>72</v>
      </c>
      <c r="B91" s="6">
        <v>2.1280000000000001</v>
      </c>
      <c r="C91" s="6">
        <v>2.101</v>
      </c>
      <c r="D91" s="6">
        <v>2.0739999999999998</v>
      </c>
      <c r="E91" s="1" t="s">
        <v>132</v>
      </c>
      <c r="F91" s="1" t="s">
        <v>133</v>
      </c>
    </row>
    <row r="92" spans="1:26" ht="16.5" customHeight="1" x14ac:dyDescent="0.2">
      <c r="A92" s="5">
        <v>73</v>
      </c>
      <c r="B92" s="6">
        <v>2.0670000000000002</v>
      </c>
      <c r="C92" s="6">
        <v>2.04</v>
      </c>
      <c r="D92" s="6">
        <v>2.0129999999999999</v>
      </c>
      <c r="E92" s="1" t="s">
        <v>134</v>
      </c>
      <c r="F92" s="1" t="s">
        <v>135</v>
      </c>
    </row>
    <row r="93" spans="1:26" ht="16.5" customHeight="1" x14ac:dyDescent="0.2">
      <c r="A93" s="5">
        <v>74</v>
      </c>
      <c r="B93" s="6">
        <v>2.008</v>
      </c>
      <c r="C93" s="6">
        <v>1.9810000000000001</v>
      </c>
      <c r="D93" s="6">
        <v>1.9550000000000001</v>
      </c>
      <c r="E93" s="1" t="s">
        <v>134</v>
      </c>
      <c r="F93" s="1" t="s">
        <v>136</v>
      </c>
    </row>
    <row r="94" spans="1:26" ht="16.5" customHeight="1" x14ac:dyDescent="0.2">
      <c r="A94" s="5">
        <v>75</v>
      </c>
      <c r="B94" s="6">
        <v>1.9510000000000001</v>
      </c>
      <c r="C94" s="6">
        <v>1.925</v>
      </c>
      <c r="D94" s="6">
        <v>1.899</v>
      </c>
      <c r="E94" s="1" t="s">
        <v>137</v>
      </c>
      <c r="F94" s="1" t="s">
        <v>136</v>
      </c>
    </row>
    <row r="95" spans="1:26" ht="16.5" customHeight="1" x14ac:dyDescent="0.2">
      <c r="A95" s="5">
        <v>76</v>
      </c>
      <c r="B95" s="6">
        <v>1.8959999999999999</v>
      </c>
      <c r="C95" s="6">
        <v>1.87</v>
      </c>
      <c r="D95" s="6">
        <v>1.845</v>
      </c>
      <c r="E95" s="1" t="s">
        <v>138</v>
      </c>
      <c r="F95" s="1" t="s">
        <v>139</v>
      </c>
    </row>
    <row r="96" spans="1:26" ht="16.5" customHeight="1" x14ac:dyDescent="0.2">
      <c r="A96" s="5">
        <v>77</v>
      </c>
      <c r="B96" s="6">
        <v>1.8420000000000001</v>
      </c>
      <c r="C96" s="6">
        <v>1.8169999999999999</v>
      </c>
      <c r="D96" s="6">
        <v>1.792</v>
      </c>
      <c r="E96" s="1" t="s">
        <v>140</v>
      </c>
      <c r="F96" s="1" t="s">
        <v>141</v>
      </c>
    </row>
    <row r="97" spans="1:25" ht="16.5" customHeight="1" x14ac:dyDescent="0.2">
      <c r="A97" s="5">
        <v>78</v>
      </c>
      <c r="B97" s="6">
        <v>1.7909999999999999</v>
      </c>
      <c r="C97" s="6">
        <v>1.766</v>
      </c>
      <c r="D97" s="6">
        <v>1.7410000000000001</v>
      </c>
      <c r="E97" s="1" t="s">
        <v>140</v>
      </c>
      <c r="F97" s="1" t="s">
        <v>142</v>
      </c>
    </row>
    <row r="98" spans="1:25" ht="16.5" customHeight="1" x14ac:dyDescent="0.2">
      <c r="A98" s="5">
        <v>79</v>
      </c>
      <c r="B98" s="6">
        <v>1.7410000000000001</v>
      </c>
      <c r="C98" s="6">
        <v>1.716</v>
      </c>
      <c r="D98" s="6">
        <v>1.6919999999999999</v>
      </c>
      <c r="E98" s="1" t="s">
        <v>143</v>
      </c>
      <c r="F98" s="1" t="s">
        <v>142</v>
      </c>
    </row>
    <row r="99" spans="1:25" ht="16.5" customHeight="1" x14ac:dyDescent="0.2">
      <c r="A99" s="5">
        <v>80</v>
      </c>
      <c r="B99" s="6">
        <v>1.6930000000000001</v>
      </c>
      <c r="C99" s="6">
        <v>1.669</v>
      </c>
      <c r="D99" s="6">
        <v>1.645</v>
      </c>
      <c r="E99" s="1" t="s">
        <v>144</v>
      </c>
      <c r="F99" s="1" t="s">
        <v>145</v>
      </c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</row>
    <row r="100" spans="1:25" ht="16.5" customHeight="1" x14ac:dyDescent="0.2">
      <c r="A100" s="5">
        <v>81</v>
      </c>
      <c r="B100" s="6">
        <v>1.6459999999999999</v>
      </c>
      <c r="C100" s="6">
        <v>1.6220000000000001</v>
      </c>
      <c r="D100" s="6">
        <v>1.599</v>
      </c>
      <c r="E100" s="1" t="s">
        <v>144</v>
      </c>
      <c r="F100" s="1" t="s">
        <v>146</v>
      </c>
      <c r="N100" s="31"/>
      <c r="O100" s="27"/>
      <c r="P100" s="27"/>
      <c r="Q100" s="27"/>
      <c r="R100" s="27"/>
      <c r="S100" s="27"/>
      <c r="T100" s="27"/>
      <c r="U100" s="27"/>
      <c r="V100" s="27"/>
      <c r="W100" s="32"/>
      <c r="X100" s="32"/>
      <c r="Y100" s="32"/>
    </row>
    <row r="101" spans="1:25" ht="16.5" customHeight="1" x14ac:dyDescent="0.2">
      <c r="A101" s="5">
        <v>82</v>
      </c>
      <c r="B101" s="6">
        <v>1.6</v>
      </c>
      <c r="C101" s="6">
        <v>1.577</v>
      </c>
      <c r="D101" s="6">
        <v>1.5549999999999999</v>
      </c>
      <c r="E101" s="1" t="s">
        <v>147</v>
      </c>
      <c r="F101" s="1" t="s">
        <v>146</v>
      </c>
      <c r="N101" s="31"/>
      <c r="O101" s="27"/>
      <c r="P101" s="27"/>
      <c r="Q101" s="27"/>
      <c r="R101" s="27"/>
      <c r="S101" s="27"/>
      <c r="T101" s="27"/>
      <c r="U101" s="27"/>
      <c r="V101" s="27"/>
      <c r="W101" s="32"/>
      <c r="X101" s="32"/>
      <c r="Y101" s="32"/>
    </row>
    <row r="102" spans="1:25" ht="16.5" customHeight="1" x14ac:dyDescent="0.2">
      <c r="A102" s="5">
        <v>83</v>
      </c>
      <c r="B102" s="6">
        <v>1.5569999999999999</v>
      </c>
      <c r="C102" s="6">
        <v>1.534</v>
      </c>
      <c r="D102" s="6">
        <v>1.512</v>
      </c>
      <c r="E102" s="1" t="s">
        <v>148</v>
      </c>
      <c r="F102" s="1" t="s">
        <v>149</v>
      </c>
      <c r="N102" s="31"/>
      <c r="O102" s="27"/>
      <c r="P102" s="27"/>
      <c r="Q102" s="27"/>
      <c r="R102" s="27"/>
      <c r="S102" s="27"/>
      <c r="T102" s="27"/>
      <c r="U102" s="27"/>
      <c r="V102" s="27"/>
      <c r="W102" s="32"/>
      <c r="X102" s="32"/>
      <c r="Y102" s="32"/>
    </row>
    <row r="103" spans="1:25" ht="16.5" customHeight="1" x14ac:dyDescent="0.2">
      <c r="A103" s="5">
        <v>84</v>
      </c>
      <c r="B103" s="6">
        <v>1.514</v>
      </c>
      <c r="C103" s="6">
        <v>1.492</v>
      </c>
      <c r="D103" s="6">
        <v>1.47</v>
      </c>
      <c r="E103" s="1" t="s">
        <v>150</v>
      </c>
      <c r="F103" s="1" t="s">
        <v>151</v>
      </c>
      <c r="N103" s="31"/>
      <c r="O103" s="27"/>
      <c r="P103" s="27"/>
      <c r="Q103" s="27"/>
      <c r="R103" s="27"/>
      <c r="S103" s="27"/>
      <c r="T103" s="27"/>
      <c r="U103" s="27"/>
      <c r="V103" s="27"/>
      <c r="W103" s="32"/>
      <c r="X103" s="32"/>
      <c r="Y103" s="32"/>
    </row>
    <row r="104" spans="1:25" ht="16.5" customHeight="1" x14ac:dyDescent="0.2">
      <c r="A104" s="5">
        <v>85</v>
      </c>
      <c r="B104" s="6">
        <v>1.4730000000000001</v>
      </c>
      <c r="C104" s="6">
        <v>1.4510000000000001</v>
      </c>
      <c r="D104" s="6">
        <v>1.43</v>
      </c>
      <c r="E104" s="1" t="s">
        <v>152</v>
      </c>
      <c r="F104" s="1" t="s">
        <v>153</v>
      </c>
      <c r="N104" s="31"/>
      <c r="O104" s="27"/>
      <c r="P104" s="27"/>
      <c r="Q104" s="27"/>
      <c r="R104" s="27"/>
      <c r="S104" s="27"/>
      <c r="T104" s="27"/>
      <c r="U104" s="27"/>
      <c r="V104" s="27"/>
      <c r="W104" s="32"/>
      <c r="X104" s="32"/>
      <c r="Y104" s="32"/>
    </row>
    <row r="105" spans="1:25" ht="16.5" customHeight="1" x14ac:dyDescent="0.2">
      <c r="A105" s="5">
        <v>86</v>
      </c>
      <c r="B105" s="6">
        <v>1.4330000000000001</v>
      </c>
      <c r="C105" s="6">
        <v>1.4119999999999999</v>
      </c>
      <c r="D105" s="6">
        <v>1.391</v>
      </c>
      <c r="E105" s="1" t="s">
        <v>152</v>
      </c>
      <c r="F105" s="1" t="s">
        <v>153</v>
      </c>
      <c r="N105" s="31"/>
      <c r="O105" s="27"/>
      <c r="P105" s="27"/>
      <c r="Q105" s="27"/>
      <c r="R105" s="27"/>
      <c r="S105" s="27"/>
      <c r="T105" s="37" t="s">
        <v>292</v>
      </c>
      <c r="U105" s="37" t="s">
        <v>298</v>
      </c>
      <c r="V105" s="28"/>
      <c r="W105" s="56" t="s">
        <v>297</v>
      </c>
      <c r="X105" s="56"/>
      <c r="Y105" s="32"/>
    </row>
    <row r="106" spans="1:25" ht="16.5" customHeight="1" x14ac:dyDescent="0.2">
      <c r="A106" s="5">
        <v>87</v>
      </c>
      <c r="B106" s="6">
        <v>1.395</v>
      </c>
      <c r="C106" s="6">
        <v>1.3740000000000001</v>
      </c>
      <c r="D106" s="6">
        <v>1.353</v>
      </c>
      <c r="E106" s="1" t="s">
        <v>154</v>
      </c>
      <c r="F106" s="1" t="s">
        <v>155</v>
      </c>
      <c r="N106" s="31"/>
      <c r="O106" s="28" t="s">
        <v>285</v>
      </c>
      <c r="P106" s="28" t="s">
        <v>286</v>
      </c>
      <c r="Q106" s="28" t="s">
        <v>287</v>
      </c>
      <c r="R106" s="53" t="s">
        <v>288</v>
      </c>
      <c r="S106" s="36"/>
      <c r="T106" s="38">
        <v>0</v>
      </c>
      <c r="U106" s="37">
        <f t="shared" ref="U106:U123" si="20">T106/0.516</f>
        <v>0</v>
      </c>
      <c r="W106" s="56"/>
      <c r="X106" s="56"/>
      <c r="Y106" s="32"/>
    </row>
    <row r="107" spans="1:25" ht="16.5" customHeight="1" x14ac:dyDescent="0.2">
      <c r="A107" s="5">
        <v>88</v>
      </c>
      <c r="B107" s="6">
        <v>1.3580000000000001</v>
      </c>
      <c r="C107" s="6">
        <v>1.337</v>
      </c>
      <c r="D107" s="6">
        <v>1.3160000000000001</v>
      </c>
      <c r="E107" s="1" t="s">
        <v>156</v>
      </c>
      <c r="F107" s="1" t="s">
        <v>157</v>
      </c>
      <c r="N107" s="31"/>
      <c r="O107" s="28"/>
      <c r="P107" s="28">
        <v>5</v>
      </c>
      <c r="Q107" s="35">
        <v>0</v>
      </c>
      <c r="R107" s="53"/>
      <c r="S107" s="36"/>
      <c r="T107" s="38">
        <v>0.1</v>
      </c>
      <c r="U107" s="37">
        <f>T107/0.516</f>
        <v>0.19379844961240311</v>
      </c>
      <c r="W107" s="56"/>
      <c r="X107" s="56"/>
      <c r="Y107" s="32"/>
    </row>
    <row r="108" spans="1:25" ht="16.5" customHeight="1" x14ac:dyDescent="0.2">
      <c r="A108" s="5">
        <v>89</v>
      </c>
      <c r="B108" s="6">
        <v>1.321</v>
      </c>
      <c r="C108" s="6">
        <v>1.3009999999999999</v>
      </c>
      <c r="D108" s="6">
        <v>1.2809999999999999</v>
      </c>
      <c r="E108" s="1" t="s">
        <v>158</v>
      </c>
      <c r="F108" s="1" t="s">
        <v>159</v>
      </c>
      <c r="N108" s="31"/>
      <c r="O108" s="28"/>
      <c r="P108" s="28">
        <v>4</v>
      </c>
      <c r="Q108" s="28">
        <v>2</v>
      </c>
      <c r="R108" s="53"/>
      <c r="S108" s="36"/>
      <c r="T108" s="38">
        <v>0.2</v>
      </c>
      <c r="U108" s="37">
        <f t="shared" si="20"/>
        <v>0.38759689922480622</v>
      </c>
      <c r="W108" s="32"/>
      <c r="X108" s="32"/>
      <c r="Y108" s="32"/>
    </row>
    <row r="109" spans="1:25" ht="16.5" customHeight="1" x14ac:dyDescent="0.2">
      <c r="A109" s="5">
        <v>90</v>
      </c>
      <c r="B109" s="6">
        <v>1.286</v>
      </c>
      <c r="C109" s="6">
        <v>1.266</v>
      </c>
      <c r="D109" s="6">
        <v>1.2470000000000001</v>
      </c>
      <c r="E109" s="1" t="s">
        <v>158</v>
      </c>
      <c r="F109" s="1" t="s">
        <v>159</v>
      </c>
      <c r="N109" s="31"/>
      <c r="O109" s="28"/>
      <c r="P109" s="28">
        <v>3</v>
      </c>
      <c r="Q109" s="28">
        <v>4</v>
      </c>
      <c r="R109" s="28" t="s">
        <v>289</v>
      </c>
      <c r="S109" s="28">
        <f>(3.3-1.65)/(0-3.2)</f>
        <v>-0.51562499999999989</v>
      </c>
      <c r="T109" s="38">
        <v>0.3</v>
      </c>
      <c r="U109" s="37">
        <f t="shared" si="20"/>
        <v>0.58139534883720922</v>
      </c>
      <c r="W109" s="32"/>
      <c r="X109" s="32"/>
      <c r="Y109" s="32"/>
    </row>
    <row r="110" spans="1:25" ht="16.5" customHeight="1" x14ac:dyDescent="0.2">
      <c r="A110" s="5">
        <v>91</v>
      </c>
      <c r="B110" s="6">
        <v>1.252</v>
      </c>
      <c r="C110" s="6">
        <v>1.2330000000000001</v>
      </c>
      <c r="D110" s="6">
        <v>1.2130000000000001</v>
      </c>
      <c r="E110" s="1" t="s">
        <v>160</v>
      </c>
      <c r="F110" s="1" t="s">
        <v>161</v>
      </c>
      <c r="N110" s="31"/>
      <c r="O110" s="28"/>
      <c r="P110" s="28">
        <v>2.5</v>
      </c>
      <c r="Q110" s="28">
        <v>4.8</v>
      </c>
      <c r="R110" s="35" t="s">
        <v>291</v>
      </c>
      <c r="S110" s="54" t="s">
        <v>295</v>
      </c>
      <c r="T110" s="38">
        <v>0.4</v>
      </c>
      <c r="U110" s="37">
        <f t="shared" si="20"/>
        <v>0.77519379844961245</v>
      </c>
      <c r="W110" s="32"/>
      <c r="X110" s="32"/>
      <c r="Y110" s="32"/>
    </row>
    <row r="111" spans="1:25" ht="16.5" customHeight="1" x14ac:dyDescent="0.2">
      <c r="A111" s="5">
        <v>92</v>
      </c>
      <c r="B111" s="6">
        <v>1.22</v>
      </c>
      <c r="C111" s="6">
        <v>1.2</v>
      </c>
      <c r="D111" s="6">
        <v>1.181</v>
      </c>
      <c r="E111" s="1" t="s">
        <v>162</v>
      </c>
      <c r="F111" s="1" t="s">
        <v>163</v>
      </c>
      <c r="N111" s="31"/>
      <c r="O111" s="28"/>
      <c r="P111" s="28">
        <v>2</v>
      </c>
      <c r="Q111" s="28">
        <v>4</v>
      </c>
      <c r="S111" s="54"/>
      <c r="T111" s="38">
        <v>0.5</v>
      </c>
      <c r="U111" s="37">
        <f t="shared" si="20"/>
        <v>0.96899224806201545</v>
      </c>
      <c r="W111" s="32"/>
      <c r="X111" s="32"/>
      <c r="Y111" s="32"/>
    </row>
    <row r="112" spans="1:25" ht="16.5" customHeight="1" x14ac:dyDescent="0.2">
      <c r="A112" s="5">
        <v>93</v>
      </c>
      <c r="B112" s="6">
        <v>1.1879999999999999</v>
      </c>
      <c r="C112" s="6">
        <v>1.169</v>
      </c>
      <c r="D112" s="6">
        <v>1.1499999999999999</v>
      </c>
      <c r="E112" s="1" t="s">
        <v>164</v>
      </c>
      <c r="F112" s="1" t="s">
        <v>165</v>
      </c>
      <c r="N112" s="31"/>
      <c r="O112" s="28"/>
      <c r="P112" s="28">
        <v>1</v>
      </c>
      <c r="Q112" s="28">
        <v>2</v>
      </c>
      <c r="R112" s="28" t="s">
        <v>290</v>
      </c>
      <c r="S112" s="28">
        <f>(0-1.65)/(0-3.2)</f>
        <v>0.51562499999999989</v>
      </c>
      <c r="T112" s="38">
        <v>0.6</v>
      </c>
      <c r="U112" s="37">
        <f t="shared" si="20"/>
        <v>1.1627906976744184</v>
      </c>
      <c r="W112" s="32"/>
      <c r="X112" s="32"/>
      <c r="Y112" s="32"/>
    </row>
    <row r="113" spans="1:25" ht="16.5" customHeight="1" x14ac:dyDescent="0.2">
      <c r="A113" s="5">
        <v>94</v>
      </c>
      <c r="B113" s="6">
        <v>1.157</v>
      </c>
      <c r="C113" s="6">
        <v>1.1379999999999999</v>
      </c>
      <c r="D113" s="6">
        <v>1.1200000000000001</v>
      </c>
      <c r="E113" s="1" t="s">
        <v>164</v>
      </c>
      <c r="F113" s="1" t="s">
        <v>166</v>
      </c>
      <c r="N113" s="31"/>
      <c r="O113" s="28"/>
      <c r="P113" s="28">
        <v>0</v>
      </c>
      <c r="Q113" s="28">
        <v>0</v>
      </c>
      <c r="R113" s="35" t="s">
        <v>291</v>
      </c>
      <c r="S113" s="55" t="s">
        <v>296</v>
      </c>
      <c r="T113" s="38">
        <v>0.7</v>
      </c>
      <c r="U113" s="37">
        <f t="shared" si="20"/>
        <v>1.3565891472868217</v>
      </c>
      <c r="W113" s="32"/>
      <c r="X113" s="32"/>
      <c r="Y113" s="32"/>
    </row>
    <row r="114" spans="1:25" ht="16.5" customHeight="1" x14ac:dyDescent="0.2">
      <c r="A114" s="5">
        <v>95</v>
      </c>
      <c r="B114" s="6">
        <v>1.127</v>
      </c>
      <c r="C114" s="6">
        <v>1.1080000000000001</v>
      </c>
      <c r="D114" s="6">
        <v>1.0900000000000001</v>
      </c>
      <c r="E114" s="1" t="s">
        <v>167</v>
      </c>
      <c r="F114" s="1" t="s">
        <v>168</v>
      </c>
      <c r="N114" s="31"/>
      <c r="O114" s="28"/>
      <c r="P114" s="28"/>
      <c r="Q114" s="28"/>
      <c r="R114" s="28"/>
      <c r="S114" s="55"/>
      <c r="T114" s="38">
        <v>0.8</v>
      </c>
      <c r="U114" s="37">
        <f t="shared" si="20"/>
        <v>1.5503875968992249</v>
      </c>
      <c r="W114" s="32"/>
      <c r="X114" s="32"/>
      <c r="Y114" s="32"/>
    </row>
    <row r="115" spans="1:25" ht="16.5" customHeight="1" x14ac:dyDescent="0.2">
      <c r="A115" s="5">
        <v>96</v>
      </c>
      <c r="B115" s="6">
        <v>1.0980000000000001</v>
      </c>
      <c r="C115" s="6">
        <v>1.08</v>
      </c>
      <c r="D115" s="6">
        <v>1.0620000000000001</v>
      </c>
      <c r="E115" s="1" t="s">
        <v>169</v>
      </c>
      <c r="F115" s="1" t="s">
        <v>168</v>
      </c>
      <c r="N115" s="31"/>
      <c r="O115" s="28"/>
      <c r="P115" s="28"/>
      <c r="Q115" s="28"/>
      <c r="R115" s="28"/>
      <c r="S115" s="28"/>
      <c r="T115" s="38">
        <v>0.9</v>
      </c>
      <c r="U115" s="37">
        <f t="shared" si="20"/>
        <v>1.7441860465116279</v>
      </c>
      <c r="W115" s="32"/>
      <c r="X115" s="32"/>
      <c r="Y115" s="32"/>
    </row>
    <row r="116" spans="1:25" ht="16.5" customHeight="1" x14ac:dyDescent="0.2">
      <c r="A116" s="5">
        <v>97</v>
      </c>
      <c r="B116" s="6">
        <v>1.07</v>
      </c>
      <c r="C116" s="6">
        <v>1.052</v>
      </c>
      <c r="D116" s="6">
        <v>1.0349999999999999</v>
      </c>
      <c r="E116" s="1" t="s">
        <v>170</v>
      </c>
      <c r="F116" s="1" t="s">
        <v>171</v>
      </c>
      <c r="N116" s="31"/>
      <c r="O116" s="28"/>
      <c r="P116" s="28"/>
      <c r="Q116" s="28"/>
      <c r="R116" s="28"/>
      <c r="S116" s="28"/>
      <c r="T116" s="37">
        <v>1</v>
      </c>
      <c r="U116" s="37">
        <f>T116/0.516</f>
        <v>1.9379844961240309</v>
      </c>
      <c r="W116" s="32"/>
      <c r="X116" s="32"/>
      <c r="Y116" s="32"/>
    </row>
    <row r="117" spans="1:25" ht="16.5" customHeight="1" x14ac:dyDescent="0.2">
      <c r="A117" s="5">
        <v>98</v>
      </c>
      <c r="B117" s="6">
        <v>1.042</v>
      </c>
      <c r="C117" s="6">
        <v>1.0249999999999999</v>
      </c>
      <c r="D117" s="6">
        <v>1.008</v>
      </c>
      <c r="E117" s="1" t="s">
        <v>172</v>
      </c>
      <c r="F117" s="1" t="s">
        <v>173</v>
      </c>
      <c r="N117" s="31"/>
      <c r="O117" s="28"/>
      <c r="P117" s="28"/>
      <c r="Q117" s="28"/>
      <c r="R117" s="28"/>
      <c r="S117" s="28"/>
      <c r="T117" s="37">
        <v>1.1000000000000001</v>
      </c>
      <c r="U117" s="37">
        <f t="shared" si="20"/>
        <v>2.1317829457364343</v>
      </c>
      <c r="W117" s="32"/>
      <c r="X117" s="32"/>
      <c r="Y117" s="32"/>
    </row>
    <row r="118" spans="1:25" ht="16.5" customHeight="1" x14ac:dyDescent="0.2">
      <c r="A118" s="5">
        <v>99</v>
      </c>
      <c r="B118" s="6">
        <v>1.016</v>
      </c>
      <c r="C118" s="7">
        <v>0.999</v>
      </c>
      <c r="D118" s="7">
        <v>0.98250000000000004</v>
      </c>
      <c r="E118" s="1" t="s">
        <v>174</v>
      </c>
      <c r="F118" s="1" t="s">
        <v>175</v>
      </c>
      <c r="N118" s="31"/>
      <c r="O118" s="28"/>
      <c r="P118" s="28"/>
      <c r="Q118" s="28"/>
      <c r="R118" s="28"/>
      <c r="S118" s="28"/>
      <c r="T118" s="37">
        <v>1.2</v>
      </c>
      <c r="U118" s="37">
        <f t="shared" si="20"/>
        <v>2.3255813953488369</v>
      </c>
      <c r="W118" s="32"/>
      <c r="X118" s="32"/>
      <c r="Y118" s="32"/>
    </row>
    <row r="119" spans="1:25" ht="16.5" customHeight="1" x14ac:dyDescent="0.2">
      <c r="A119" s="5">
        <v>100</v>
      </c>
      <c r="B119" s="7">
        <v>0.99009999999999998</v>
      </c>
      <c r="C119" s="7">
        <v>0.97370000000000001</v>
      </c>
      <c r="D119" s="7">
        <v>0.95750000000000002</v>
      </c>
      <c r="E119" s="1" t="s">
        <v>174</v>
      </c>
      <c r="F119" s="1" t="s">
        <v>175</v>
      </c>
      <c r="N119" s="31"/>
      <c r="O119" s="28"/>
      <c r="P119" s="28"/>
      <c r="Q119" s="28"/>
      <c r="R119" s="28"/>
      <c r="S119" s="28"/>
      <c r="T119" s="37">
        <v>1.3</v>
      </c>
      <c r="U119" s="37">
        <f t="shared" si="20"/>
        <v>2.5193798449612403</v>
      </c>
      <c r="W119" s="32"/>
      <c r="X119" s="32"/>
      <c r="Y119" s="32"/>
    </row>
    <row r="120" spans="1:25" ht="16.5" customHeight="1" x14ac:dyDescent="0.2">
      <c r="A120" s="5">
        <v>101</v>
      </c>
      <c r="B120" s="7">
        <v>0.96509999999999996</v>
      </c>
      <c r="C120" s="7">
        <v>0.94899999999999995</v>
      </c>
      <c r="D120" s="7">
        <v>0.93310000000000004</v>
      </c>
      <c r="E120" s="1" t="s">
        <v>176</v>
      </c>
      <c r="F120" s="1" t="s">
        <v>177</v>
      </c>
      <c r="N120" s="31"/>
      <c r="O120" s="28"/>
      <c r="P120" s="28"/>
      <c r="Q120" s="28"/>
      <c r="R120" s="28"/>
      <c r="S120" s="28"/>
      <c r="T120" s="37">
        <v>1.4</v>
      </c>
      <c r="U120" s="37">
        <f t="shared" si="20"/>
        <v>2.7131782945736433</v>
      </c>
      <c r="W120" s="32"/>
      <c r="X120" s="32"/>
      <c r="Y120" s="32"/>
    </row>
    <row r="121" spans="1:25" ht="16.5" customHeight="1" x14ac:dyDescent="0.2">
      <c r="A121" s="5">
        <v>102</v>
      </c>
      <c r="B121" s="7">
        <v>0.94079999999999997</v>
      </c>
      <c r="C121" s="7">
        <v>0.92500000000000004</v>
      </c>
      <c r="D121" s="7">
        <v>0.90949999999999998</v>
      </c>
      <c r="E121" s="1" t="s">
        <v>178</v>
      </c>
      <c r="F121" s="1" t="s">
        <v>179</v>
      </c>
      <c r="N121" s="31"/>
      <c r="O121" s="28"/>
      <c r="P121" s="28"/>
      <c r="Q121" s="28"/>
      <c r="R121" s="28"/>
      <c r="S121" s="28"/>
      <c r="T121" s="37">
        <v>1.5</v>
      </c>
      <c r="U121" s="37">
        <f t="shared" si="20"/>
        <v>2.9069767441860463</v>
      </c>
      <c r="W121" s="32"/>
      <c r="X121" s="32"/>
      <c r="Y121" s="32"/>
    </row>
    <row r="122" spans="1:25" ht="16.5" customHeight="1" x14ac:dyDescent="0.2">
      <c r="A122" s="5">
        <v>103</v>
      </c>
      <c r="B122" s="7">
        <v>0.9173</v>
      </c>
      <c r="C122" s="7">
        <v>0.90180000000000005</v>
      </c>
      <c r="D122" s="7">
        <v>0.88649999999999995</v>
      </c>
      <c r="E122" s="1" t="s">
        <v>178</v>
      </c>
      <c r="F122" s="1" t="s">
        <v>180</v>
      </c>
      <c r="N122" s="31"/>
      <c r="O122" s="28"/>
      <c r="P122" s="28"/>
      <c r="Q122" s="28"/>
      <c r="R122" s="28"/>
      <c r="S122" s="28"/>
      <c r="T122" s="37">
        <v>1.6</v>
      </c>
      <c r="U122" s="37">
        <f t="shared" si="20"/>
        <v>3.1007751937984498</v>
      </c>
      <c r="W122" s="32"/>
      <c r="X122" s="32"/>
      <c r="Y122" s="32"/>
    </row>
    <row r="123" spans="1:25" ht="16.5" customHeight="1" x14ac:dyDescent="0.2">
      <c r="A123" s="5">
        <v>104</v>
      </c>
      <c r="B123" s="7">
        <v>0.89449999999999996</v>
      </c>
      <c r="C123" s="7">
        <v>0.87929999999999997</v>
      </c>
      <c r="D123" s="7">
        <v>0.86429999999999996</v>
      </c>
      <c r="E123" s="1" t="s">
        <v>181</v>
      </c>
      <c r="F123" s="1" t="s">
        <v>182</v>
      </c>
      <c r="N123" s="31"/>
      <c r="O123" s="28"/>
      <c r="P123" s="28"/>
      <c r="Q123" s="28"/>
      <c r="R123" s="28"/>
      <c r="S123" s="28"/>
      <c r="T123" s="37">
        <v>1.65</v>
      </c>
      <c r="U123" s="37">
        <f t="shared" si="20"/>
        <v>3.1976744186046511</v>
      </c>
      <c r="W123" s="32"/>
      <c r="X123" s="32"/>
      <c r="Y123" s="32"/>
    </row>
    <row r="124" spans="1:25" ht="16.5" customHeight="1" x14ac:dyDescent="0.2">
      <c r="A124" s="5">
        <v>105</v>
      </c>
      <c r="B124" s="7">
        <v>0.87239999999999995</v>
      </c>
      <c r="C124" s="7">
        <v>0.85740000000000005</v>
      </c>
      <c r="D124" s="7">
        <v>0.8427</v>
      </c>
      <c r="E124" s="1" t="s">
        <v>183</v>
      </c>
      <c r="F124" s="1" t="s">
        <v>184</v>
      </c>
      <c r="N124" s="31"/>
      <c r="O124" s="28"/>
      <c r="P124" s="28"/>
      <c r="Q124" s="28"/>
      <c r="R124" s="28"/>
      <c r="S124" s="28"/>
      <c r="T124" s="37">
        <v>1.8</v>
      </c>
      <c r="U124" s="37">
        <f t="shared" ref="U124:U139" si="21">(T124-3.3)/-0.516</f>
        <v>2.9069767441860459</v>
      </c>
      <c r="W124" s="32"/>
      <c r="X124" s="32"/>
      <c r="Y124" s="32"/>
    </row>
    <row r="125" spans="1:25" ht="16.5" customHeight="1" x14ac:dyDescent="0.2">
      <c r="A125" s="5">
        <v>106</v>
      </c>
      <c r="B125" s="7">
        <v>0.85099999999999998</v>
      </c>
      <c r="C125" s="7">
        <v>0.83630000000000004</v>
      </c>
      <c r="D125" s="7">
        <v>0.82179999999999997</v>
      </c>
      <c r="E125" s="1" t="s">
        <v>185</v>
      </c>
      <c r="F125" s="1" t="s">
        <v>184</v>
      </c>
      <c r="N125" s="31"/>
      <c r="O125" s="28"/>
      <c r="P125" s="28"/>
      <c r="Q125" s="28"/>
      <c r="R125" s="28"/>
      <c r="S125" s="28"/>
      <c r="T125" s="37">
        <v>1.9</v>
      </c>
      <c r="U125" s="37">
        <f t="shared" si="21"/>
        <v>2.7131782945736433</v>
      </c>
      <c r="W125" s="32"/>
      <c r="X125" s="32"/>
      <c r="Y125" s="32"/>
    </row>
    <row r="126" spans="1:25" ht="16.5" customHeight="1" x14ac:dyDescent="0.2">
      <c r="A126" s="5">
        <v>107</v>
      </c>
      <c r="B126" s="7">
        <v>0.83020000000000005</v>
      </c>
      <c r="C126" s="7">
        <v>0.81569999999999998</v>
      </c>
      <c r="D126" s="7">
        <v>0.80149999999999999</v>
      </c>
      <c r="E126" s="1" t="s">
        <v>186</v>
      </c>
      <c r="F126" s="1" t="s">
        <v>187</v>
      </c>
      <c r="N126" s="31"/>
      <c r="O126" s="28"/>
      <c r="P126" s="28"/>
      <c r="Q126" s="28"/>
      <c r="R126" s="28"/>
      <c r="S126" s="28"/>
      <c r="T126" s="37">
        <v>2</v>
      </c>
      <c r="U126" s="37">
        <f t="shared" si="21"/>
        <v>2.5193798449612399</v>
      </c>
      <c r="W126" s="32"/>
      <c r="X126" s="32"/>
      <c r="Y126" s="32"/>
    </row>
    <row r="127" spans="1:25" ht="16.5" customHeight="1" x14ac:dyDescent="0.2">
      <c r="A127" s="5">
        <v>108</v>
      </c>
      <c r="B127" s="7">
        <v>0.81</v>
      </c>
      <c r="C127" s="7">
        <v>0.79579999999999995</v>
      </c>
      <c r="D127" s="7">
        <v>0.78180000000000005</v>
      </c>
      <c r="E127" s="1" t="s">
        <v>188</v>
      </c>
      <c r="F127" s="1" t="s">
        <v>189</v>
      </c>
      <c r="N127" s="31"/>
      <c r="O127" s="28"/>
      <c r="P127" s="28"/>
      <c r="Q127" s="28"/>
      <c r="R127" s="28"/>
      <c r="S127" s="28"/>
      <c r="T127" s="37">
        <v>2.1</v>
      </c>
      <c r="U127" s="37">
        <f t="shared" si="21"/>
        <v>2.3255813953488365</v>
      </c>
      <c r="W127" s="32"/>
      <c r="X127" s="32"/>
      <c r="Y127" s="32"/>
    </row>
    <row r="128" spans="1:25" ht="16.5" customHeight="1" x14ac:dyDescent="0.2">
      <c r="A128" s="5">
        <v>109</v>
      </c>
      <c r="B128" s="7">
        <v>0.79039999999999999</v>
      </c>
      <c r="C128" s="7">
        <v>0.77639999999999998</v>
      </c>
      <c r="D128" s="7">
        <v>0.76270000000000004</v>
      </c>
      <c r="E128" s="1" t="s">
        <v>190</v>
      </c>
      <c r="F128" s="1" t="s">
        <v>191</v>
      </c>
      <c r="N128" s="31"/>
      <c r="O128" s="28"/>
      <c r="P128" s="28"/>
      <c r="Q128" s="28"/>
      <c r="R128" s="28"/>
      <c r="S128" s="28"/>
      <c r="T128" s="37">
        <v>2.2000000000000002</v>
      </c>
      <c r="U128" s="37">
        <f t="shared" si="21"/>
        <v>2.1317829457364335</v>
      </c>
      <c r="W128" s="32"/>
      <c r="X128" s="32"/>
      <c r="Y128" s="32"/>
    </row>
    <row r="129" spans="1:25" ht="16.5" customHeight="1" x14ac:dyDescent="0.2">
      <c r="A129" s="5">
        <v>110</v>
      </c>
      <c r="B129" s="7">
        <v>0.77129999999999999</v>
      </c>
      <c r="C129" s="7">
        <v>0.75760000000000005</v>
      </c>
      <c r="D129" s="7">
        <v>0.74409999999999998</v>
      </c>
      <c r="E129" s="1" t="s">
        <v>192</v>
      </c>
      <c r="F129" s="1" t="s">
        <v>191</v>
      </c>
      <c r="N129" s="31"/>
      <c r="O129" s="28"/>
      <c r="P129" s="28"/>
      <c r="Q129" s="28"/>
      <c r="R129" s="28"/>
      <c r="S129" s="28"/>
      <c r="T129" s="37">
        <v>2.2999999999999998</v>
      </c>
      <c r="U129" s="37">
        <f t="shared" si="21"/>
        <v>1.9379844961240309</v>
      </c>
      <c r="W129" s="32"/>
      <c r="X129" s="32"/>
      <c r="Y129" s="32"/>
    </row>
    <row r="130" spans="1:25" ht="16.5" customHeight="1" x14ac:dyDescent="0.2">
      <c r="A130" s="5">
        <v>111</v>
      </c>
      <c r="B130" s="7">
        <v>0.75270000000000004</v>
      </c>
      <c r="C130" s="7">
        <v>0.73919999999999997</v>
      </c>
      <c r="D130" s="7">
        <v>0.72599999999999998</v>
      </c>
      <c r="E130" s="1" t="s">
        <v>192</v>
      </c>
      <c r="F130" s="1" t="s">
        <v>193</v>
      </c>
      <c r="N130" s="31"/>
      <c r="O130" s="28"/>
      <c r="P130" s="28"/>
      <c r="Q130" s="28"/>
      <c r="R130" s="28"/>
      <c r="S130" s="28"/>
      <c r="T130" s="37">
        <v>2.4</v>
      </c>
      <c r="U130" s="37">
        <f t="shared" si="21"/>
        <v>1.7441860465116277</v>
      </c>
      <c r="W130" s="32"/>
      <c r="X130" s="32"/>
      <c r="Y130" s="32"/>
    </row>
    <row r="131" spans="1:25" ht="16.5" customHeight="1" x14ac:dyDescent="0.2">
      <c r="A131" s="5">
        <v>112</v>
      </c>
      <c r="B131" s="7">
        <v>0.73470000000000002</v>
      </c>
      <c r="C131" s="7">
        <v>0.72140000000000004</v>
      </c>
      <c r="D131" s="7">
        <v>0.70840000000000003</v>
      </c>
      <c r="E131" s="1" t="s">
        <v>194</v>
      </c>
      <c r="F131" s="1" t="s">
        <v>195</v>
      </c>
      <c r="N131" s="31"/>
      <c r="O131" s="28"/>
      <c r="P131" s="28"/>
      <c r="Q131" s="28"/>
      <c r="R131" s="28"/>
      <c r="S131" s="28"/>
      <c r="T131" s="37">
        <v>2.5</v>
      </c>
      <c r="U131" s="37">
        <f t="shared" si="21"/>
        <v>1.5503875968992245</v>
      </c>
      <c r="W131" s="32"/>
      <c r="X131" s="32"/>
      <c r="Y131" s="32"/>
    </row>
    <row r="132" spans="1:25" ht="16.5" customHeight="1" x14ac:dyDescent="0.2">
      <c r="A132" s="5">
        <v>113</v>
      </c>
      <c r="B132" s="7">
        <v>0.71709999999999996</v>
      </c>
      <c r="C132" s="7">
        <v>0.70409999999999995</v>
      </c>
      <c r="D132" s="7">
        <v>0.69130000000000003</v>
      </c>
      <c r="E132" s="1" t="s">
        <v>196</v>
      </c>
      <c r="F132" s="1" t="s">
        <v>197</v>
      </c>
      <c r="N132" s="31"/>
      <c r="O132" s="28"/>
      <c r="P132" s="28"/>
      <c r="Q132" s="28"/>
      <c r="R132" s="28"/>
      <c r="S132" s="28"/>
      <c r="T132" s="37">
        <v>2.6</v>
      </c>
      <c r="U132" s="37">
        <f t="shared" si="21"/>
        <v>1.3565891472868212</v>
      </c>
      <c r="W132" s="32"/>
      <c r="X132" s="32"/>
      <c r="Y132" s="32"/>
    </row>
    <row r="133" spans="1:25" ht="16.5" customHeight="1" x14ac:dyDescent="0.2">
      <c r="A133" s="5">
        <v>114</v>
      </c>
      <c r="B133" s="7">
        <v>0.70009999999999994</v>
      </c>
      <c r="C133" s="7">
        <v>0.68730000000000002</v>
      </c>
      <c r="D133" s="7">
        <v>0.67469999999999997</v>
      </c>
      <c r="E133" s="1" t="s">
        <v>198</v>
      </c>
      <c r="F133" s="1" t="s">
        <v>199</v>
      </c>
      <c r="N133" s="31"/>
      <c r="O133" s="28"/>
      <c r="P133" s="28"/>
      <c r="Q133" s="28"/>
      <c r="R133" s="28"/>
      <c r="S133" s="28"/>
      <c r="T133" s="37">
        <v>2.7</v>
      </c>
      <c r="U133" s="37">
        <f t="shared" si="21"/>
        <v>1.1627906976744178</v>
      </c>
      <c r="W133" s="32"/>
      <c r="X133" s="32"/>
      <c r="Y133" s="32"/>
    </row>
    <row r="134" spans="1:25" ht="16.5" customHeight="1" x14ac:dyDescent="0.2">
      <c r="A134" s="5">
        <v>115</v>
      </c>
      <c r="B134" s="7">
        <v>0.68359999999999999</v>
      </c>
      <c r="C134" s="7">
        <v>0.67100000000000004</v>
      </c>
      <c r="D134" s="7">
        <v>0.65859999999999996</v>
      </c>
      <c r="E134" s="1" t="s">
        <v>200</v>
      </c>
      <c r="F134" s="1" t="s">
        <v>201</v>
      </c>
      <c r="N134" s="31"/>
      <c r="O134" s="28"/>
      <c r="P134" s="28"/>
      <c r="Q134" s="28"/>
      <c r="R134" s="28"/>
      <c r="S134" s="28"/>
      <c r="T134" s="37">
        <v>2.8</v>
      </c>
      <c r="U134" s="37">
        <f t="shared" si="21"/>
        <v>0.96899224806201545</v>
      </c>
      <c r="W134" s="32"/>
      <c r="X134" s="32"/>
      <c r="Y134" s="32"/>
    </row>
    <row r="135" spans="1:25" ht="16.5" customHeight="1" x14ac:dyDescent="0.2">
      <c r="A135" s="5">
        <v>116</v>
      </c>
      <c r="B135" s="7">
        <v>0.66749999999999998</v>
      </c>
      <c r="C135" s="7">
        <v>0.6552</v>
      </c>
      <c r="D135" s="7">
        <v>0.64300000000000002</v>
      </c>
      <c r="E135" s="1" t="s">
        <v>200</v>
      </c>
      <c r="F135" s="1" t="s">
        <v>202</v>
      </c>
      <c r="N135" s="31"/>
      <c r="O135" s="28"/>
      <c r="P135" s="28"/>
      <c r="Q135" s="28"/>
      <c r="R135" s="28"/>
      <c r="S135" s="28"/>
      <c r="T135" s="37">
        <v>2.9</v>
      </c>
      <c r="U135" s="37">
        <f t="shared" si="21"/>
        <v>0.77519379844961223</v>
      </c>
      <c r="W135" s="32"/>
      <c r="X135" s="32"/>
      <c r="Y135" s="32"/>
    </row>
    <row r="136" spans="1:25" ht="16.5" customHeight="1" x14ac:dyDescent="0.2">
      <c r="A136" s="5">
        <v>117</v>
      </c>
      <c r="B136" s="7">
        <v>0.65190000000000003</v>
      </c>
      <c r="C136" s="7">
        <v>0.63980000000000004</v>
      </c>
      <c r="D136" s="7">
        <v>0.62780000000000002</v>
      </c>
      <c r="E136" s="1" t="s">
        <v>203</v>
      </c>
      <c r="F136" s="1" t="s">
        <v>204</v>
      </c>
      <c r="N136" s="31"/>
      <c r="O136" s="28"/>
      <c r="P136" s="28"/>
      <c r="Q136" s="28"/>
      <c r="R136" s="28"/>
      <c r="S136" s="28"/>
      <c r="T136" s="37">
        <v>3</v>
      </c>
      <c r="U136" s="37">
        <f t="shared" si="21"/>
        <v>0.58139534883720889</v>
      </c>
      <c r="W136" s="32"/>
      <c r="X136" s="32"/>
      <c r="Y136" s="32"/>
    </row>
    <row r="137" spans="1:25" ht="16.5" customHeight="1" x14ac:dyDescent="0.2">
      <c r="A137" s="5">
        <v>118</v>
      </c>
      <c r="B137" s="7">
        <v>0.63670000000000004</v>
      </c>
      <c r="C137" s="7">
        <v>0.62480000000000002</v>
      </c>
      <c r="D137" s="7">
        <v>0.61309999999999998</v>
      </c>
      <c r="E137" s="1" t="s">
        <v>205</v>
      </c>
      <c r="F137" s="1" t="s">
        <v>206</v>
      </c>
      <c r="N137" s="31"/>
      <c r="O137" s="28"/>
      <c r="P137" s="28"/>
      <c r="Q137" s="28"/>
      <c r="R137" s="28"/>
      <c r="S137" s="28"/>
      <c r="T137" s="37">
        <v>3.1</v>
      </c>
      <c r="U137" s="37">
        <f t="shared" si="21"/>
        <v>0.38759689922480567</v>
      </c>
      <c r="W137" s="32"/>
      <c r="X137" s="32"/>
      <c r="Y137" s="32"/>
    </row>
    <row r="138" spans="1:25" ht="16.5" customHeight="1" x14ac:dyDescent="0.2">
      <c r="A138" s="5">
        <v>119</v>
      </c>
      <c r="B138" s="7">
        <v>0.622</v>
      </c>
      <c r="C138" s="7">
        <v>0.61029999999999995</v>
      </c>
      <c r="D138" s="7">
        <v>0.59870000000000001</v>
      </c>
      <c r="E138" s="1" t="s">
        <v>207</v>
      </c>
      <c r="F138" s="1" t="s">
        <v>208</v>
      </c>
      <c r="N138" s="31"/>
      <c r="O138" s="28"/>
      <c r="P138" s="28"/>
      <c r="Q138" s="28"/>
      <c r="R138" s="28"/>
      <c r="S138" s="28"/>
      <c r="T138" s="37">
        <v>3.2</v>
      </c>
      <c r="U138" s="37">
        <f t="shared" si="21"/>
        <v>0.19379844961240242</v>
      </c>
      <c r="W138" s="32"/>
      <c r="X138" s="32"/>
      <c r="Y138" s="32"/>
    </row>
    <row r="139" spans="1:25" ht="16.5" customHeight="1" x14ac:dyDescent="0.2">
      <c r="A139" s="5">
        <v>120</v>
      </c>
      <c r="B139" s="7">
        <v>0.60770000000000002</v>
      </c>
      <c r="C139" s="7">
        <v>0.59609999999999996</v>
      </c>
      <c r="D139" s="7">
        <v>0.58479999999999999</v>
      </c>
      <c r="E139" s="1" t="s">
        <v>209</v>
      </c>
      <c r="F139" s="1" t="s">
        <v>208</v>
      </c>
      <c r="N139" s="31"/>
      <c r="O139" s="28"/>
      <c r="P139" s="28"/>
      <c r="Q139" s="28"/>
      <c r="R139" s="28"/>
      <c r="S139" s="28"/>
      <c r="T139" s="37">
        <v>3.3</v>
      </c>
      <c r="U139" s="37">
        <f t="shared" si="21"/>
        <v>0</v>
      </c>
      <c r="W139" s="32"/>
      <c r="X139" s="32"/>
      <c r="Y139" s="32"/>
    </row>
    <row r="140" spans="1:25" ht="16.5" customHeight="1" x14ac:dyDescent="0.2">
      <c r="A140" s="5">
        <v>121</v>
      </c>
      <c r="B140" s="7">
        <v>0.59370000000000001</v>
      </c>
      <c r="C140" s="7">
        <v>0.58230000000000004</v>
      </c>
      <c r="D140" s="7">
        <v>0.57120000000000004</v>
      </c>
      <c r="E140" s="1" t="s">
        <v>210</v>
      </c>
      <c r="F140" s="1" t="s">
        <v>211</v>
      </c>
      <c r="N140" s="31"/>
      <c r="O140" s="28"/>
      <c r="P140" s="28"/>
      <c r="Q140" s="28"/>
      <c r="R140" s="28"/>
      <c r="S140" s="28"/>
      <c r="T140" s="28"/>
      <c r="U140" s="28"/>
      <c r="V140" s="28"/>
      <c r="W140" s="32"/>
      <c r="X140" s="32"/>
      <c r="Y140" s="32"/>
    </row>
    <row r="141" spans="1:25" ht="16.5" customHeight="1" x14ac:dyDescent="0.2">
      <c r="A141" s="5">
        <v>122</v>
      </c>
      <c r="B141" s="7">
        <v>0.58009999999999995</v>
      </c>
      <c r="C141" s="7">
        <v>0.56889999999999996</v>
      </c>
      <c r="D141" s="7">
        <v>0.55800000000000005</v>
      </c>
      <c r="E141" s="1" t="s">
        <v>210</v>
      </c>
      <c r="F141" s="1" t="s">
        <v>212</v>
      </c>
      <c r="N141" s="31"/>
      <c r="O141" s="28"/>
      <c r="P141" s="28"/>
      <c r="Q141" s="28"/>
      <c r="R141" s="28"/>
      <c r="S141" s="28"/>
      <c r="T141" s="28"/>
      <c r="U141" s="28"/>
      <c r="V141" s="28"/>
      <c r="W141" s="32"/>
      <c r="X141" s="32"/>
      <c r="Y141" s="32"/>
    </row>
    <row r="142" spans="1:25" ht="16.5" customHeight="1" x14ac:dyDescent="0.2">
      <c r="A142" s="5">
        <v>123</v>
      </c>
      <c r="B142" s="7">
        <v>0.56689999999999996</v>
      </c>
      <c r="C142" s="7">
        <v>0.55589999999999995</v>
      </c>
      <c r="D142" s="7">
        <v>0.54510000000000003</v>
      </c>
      <c r="E142" s="1" t="s">
        <v>213</v>
      </c>
      <c r="F142" s="1" t="s">
        <v>214</v>
      </c>
      <c r="N142" s="31"/>
      <c r="O142" s="28"/>
      <c r="P142" s="28"/>
      <c r="Q142" s="28"/>
      <c r="R142" s="28"/>
      <c r="S142" s="28"/>
      <c r="T142" s="28"/>
      <c r="U142" s="28"/>
      <c r="V142" s="28"/>
      <c r="W142" s="32"/>
      <c r="X142" s="32"/>
      <c r="Y142" s="32"/>
    </row>
    <row r="143" spans="1:25" ht="16.5" customHeight="1" x14ac:dyDescent="0.2">
      <c r="A143" s="5">
        <v>124</v>
      </c>
      <c r="B143" s="7">
        <v>0.55400000000000005</v>
      </c>
      <c r="C143" s="7">
        <v>0.54320000000000002</v>
      </c>
      <c r="D143" s="7">
        <v>0.53259999999999996</v>
      </c>
      <c r="E143" s="1" t="s">
        <v>215</v>
      </c>
      <c r="F143" s="1" t="s">
        <v>216</v>
      </c>
      <c r="N143" s="31"/>
      <c r="O143" s="28"/>
      <c r="P143" s="28"/>
      <c r="Q143" s="28"/>
      <c r="R143" s="28"/>
      <c r="S143" s="28"/>
      <c r="T143" s="28"/>
      <c r="U143" s="28"/>
      <c r="V143" s="28"/>
      <c r="W143" s="32"/>
      <c r="X143" s="32"/>
      <c r="Y143" s="32"/>
    </row>
    <row r="144" spans="1:25" ht="16.5" customHeight="1" x14ac:dyDescent="0.2">
      <c r="A144" s="5">
        <v>125</v>
      </c>
      <c r="B144" s="7">
        <v>0.54149999999999998</v>
      </c>
      <c r="C144" s="7">
        <v>0.53090000000000004</v>
      </c>
      <c r="D144" s="7">
        <v>0.52049999999999996</v>
      </c>
      <c r="E144" s="1" t="s">
        <v>217</v>
      </c>
      <c r="F144" s="1" t="s">
        <v>218</v>
      </c>
      <c r="N144" s="31"/>
      <c r="O144" s="28"/>
      <c r="P144" s="28"/>
      <c r="Q144" s="28"/>
      <c r="R144" s="28"/>
      <c r="S144" s="28"/>
      <c r="T144" s="28"/>
      <c r="U144" s="28"/>
      <c r="V144" s="28"/>
      <c r="W144" s="32"/>
      <c r="X144" s="32"/>
      <c r="Y144" s="32"/>
    </row>
    <row r="145" spans="1:25" ht="16.5" customHeight="1" x14ac:dyDescent="0.2">
      <c r="A145" s="5">
        <v>126</v>
      </c>
      <c r="B145" s="7">
        <v>0.52929999999999999</v>
      </c>
      <c r="C145" s="7">
        <v>0.51890000000000003</v>
      </c>
      <c r="D145" s="7">
        <v>0.50870000000000004</v>
      </c>
      <c r="E145" s="1" t="s">
        <v>219</v>
      </c>
      <c r="F145" s="1" t="s">
        <v>220</v>
      </c>
      <c r="N145" s="31"/>
      <c r="O145" s="28"/>
      <c r="P145" s="28"/>
      <c r="Q145" s="28"/>
      <c r="R145" s="28"/>
      <c r="S145" s="28"/>
      <c r="T145" s="28"/>
      <c r="U145" s="28"/>
      <c r="V145" s="28"/>
      <c r="W145" s="32"/>
      <c r="X145" s="32"/>
      <c r="Y145" s="32"/>
    </row>
    <row r="146" spans="1:25" ht="16.5" customHeight="1" x14ac:dyDescent="0.2">
      <c r="A146" s="5">
        <v>127</v>
      </c>
      <c r="B146" s="7">
        <v>0.51749999999999996</v>
      </c>
      <c r="C146" s="7">
        <v>0.50719999999999998</v>
      </c>
      <c r="D146" s="7">
        <v>0.49719999999999998</v>
      </c>
      <c r="E146" s="1" t="s">
        <v>221</v>
      </c>
      <c r="F146" s="1" t="s">
        <v>222</v>
      </c>
      <c r="N146" s="31"/>
      <c r="O146" s="28"/>
      <c r="P146" s="28"/>
      <c r="Q146" s="28"/>
      <c r="R146" s="28"/>
      <c r="S146" s="28"/>
      <c r="T146" s="28"/>
      <c r="U146" s="28"/>
      <c r="V146" s="28"/>
      <c r="W146" s="32"/>
      <c r="X146" s="32"/>
      <c r="Y146" s="32"/>
    </row>
    <row r="147" spans="1:25" ht="16.5" customHeight="1" x14ac:dyDescent="0.2">
      <c r="A147" s="5">
        <v>128</v>
      </c>
      <c r="B147" s="7">
        <v>0.50600000000000001</v>
      </c>
      <c r="C147" s="7">
        <v>0.49590000000000001</v>
      </c>
      <c r="D147" s="7">
        <v>0.48599999999999999</v>
      </c>
      <c r="E147" s="1" t="s">
        <v>223</v>
      </c>
      <c r="F147" s="1" t="s">
        <v>224</v>
      </c>
      <c r="N147" s="31"/>
      <c r="O147" s="28"/>
      <c r="P147" s="28"/>
      <c r="Q147" s="28"/>
      <c r="R147" s="28"/>
      <c r="S147" s="28"/>
      <c r="T147" s="28"/>
      <c r="U147" s="28"/>
      <c r="V147" s="28"/>
      <c r="W147" s="32"/>
      <c r="X147" s="32"/>
      <c r="Y147" s="32"/>
    </row>
    <row r="148" spans="1:25" ht="16.5" customHeight="1" x14ac:dyDescent="0.2">
      <c r="A148" s="5">
        <v>129</v>
      </c>
      <c r="B148" s="7">
        <v>0.49480000000000002</v>
      </c>
      <c r="C148" s="7">
        <v>0.4849</v>
      </c>
      <c r="D148" s="7">
        <v>0.47520000000000001</v>
      </c>
      <c r="E148" s="1" t="s">
        <v>225</v>
      </c>
      <c r="F148" s="1" t="s">
        <v>224</v>
      </c>
      <c r="N148" s="31"/>
      <c r="O148" s="28"/>
      <c r="P148" s="28"/>
      <c r="Q148" s="28"/>
      <c r="R148" s="28"/>
      <c r="S148" s="28"/>
      <c r="T148" s="28"/>
      <c r="U148" s="28"/>
      <c r="V148" s="28"/>
      <c r="W148" s="32"/>
      <c r="X148" s="32"/>
      <c r="Y148" s="32"/>
    </row>
    <row r="149" spans="1:25" ht="16.5" customHeight="1" x14ac:dyDescent="0.2">
      <c r="A149" s="5">
        <v>130</v>
      </c>
      <c r="B149" s="7">
        <v>0.4839</v>
      </c>
      <c r="C149" s="7">
        <v>0.47410000000000002</v>
      </c>
      <c r="D149" s="7">
        <v>0.46460000000000001</v>
      </c>
      <c r="E149" s="1" t="s">
        <v>226</v>
      </c>
      <c r="F149" s="1" t="s">
        <v>227</v>
      </c>
      <c r="N149" s="31"/>
      <c r="O149" s="28"/>
      <c r="P149" s="28"/>
      <c r="Q149" s="28"/>
      <c r="R149" s="28"/>
      <c r="S149" s="28"/>
      <c r="T149" s="28"/>
      <c r="U149" s="28"/>
      <c r="V149" s="28"/>
      <c r="W149" s="32"/>
      <c r="X149" s="32"/>
      <c r="Y149" s="32"/>
    </row>
    <row r="150" spans="1:25" ht="16.5" customHeight="1" x14ac:dyDescent="0.2">
      <c r="A150" s="5">
        <v>131</v>
      </c>
      <c r="B150" s="7">
        <v>0.47320000000000001</v>
      </c>
      <c r="C150" s="7">
        <v>0.46360000000000001</v>
      </c>
      <c r="D150" s="7">
        <v>0.45419999999999999</v>
      </c>
      <c r="E150" s="1" t="s">
        <v>226</v>
      </c>
      <c r="F150" s="1" t="s">
        <v>228</v>
      </c>
      <c r="N150" s="31"/>
      <c r="O150" s="28"/>
      <c r="P150" s="28"/>
      <c r="Q150" s="28"/>
      <c r="R150" s="28"/>
      <c r="S150" s="28"/>
      <c r="T150" s="28"/>
      <c r="U150" s="28"/>
      <c r="V150" s="28"/>
      <c r="W150" s="32"/>
      <c r="X150" s="32"/>
      <c r="Y150" s="32"/>
    </row>
    <row r="151" spans="1:25" ht="16.5" customHeight="1" x14ac:dyDescent="0.2">
      <c r="A151" s="5">
        <v>132</v>
      </c>
      <c r="B151" s="7">
        <v>0.46279999999999999</v>
      </c>
      <c r="C151" s="7">
        <v>0.45340000000000003</v>
      </c>
      <c r="D151" s="7">
        <v>0.44419999999999998</v>
      </c>
      <c r="E151" s="1" t="s">
        <v>229</v>
      </c>
      <c r="F151" s="1" t="s">
        <v>230</v>
      </c>
      <c r="N151" s="31"/>
      <c r="O151" s="28"/>
      <c r="P151" s="28"/>
      <c r="Q151" s="28"/>
      <c r="R151" s="28"/>
      <c r="S151" s="28"/>
      <c r="T151" s="28"/>
      <c r="U151" s="28"/>
      <c r="V151" s="28"/>
      <c r="W151" s="32"/>
      <c r="X151" s="32"/>
      <c r="Y151" s="32"/>
    </row>
    <row r="152" spans="1:25" ht="16.5" customHeight="1" x14ac:dyDescent="0.2">
      <c r="A152" s="5">
        <v>133</v>
      </c>
      <c r="B152" s="7">
        <v>0.45269999999999999</v>
      </c>
      <c r="C152" s="7">
        <v>0.44350000000000001</v>
      </c>
      <c r="D152" s="7">
        <v>0.43440000000000001</v>
      </c>
      <c r="E152" s="1" t="s">
        <v>231</v>
      </c>
      <c r="F152" s="1" t="s">
        <v>232</v>
      </c>
      <c r="N152" s="31"/>
      <c r="O152" s="28"/>
      <c r="P152" s="28"/>
      <c r="Q152" s="28"/>
      <c r="R152" s="28"/>
      <c r="S152" s="28"/>
      <c r="T152" s="28"/>
      <c r="U152" s="28"/>
      <c r="V152" s="28"/>
      <c r="W152" s="32"/>
      <c r="X152" s="32"/>
      <c r="Y152" s="32"/>
    </row>
    <row r="153" spans="1:25" ht="16.5" customHeight="1" x14ac:dyDescent="0.2">
      <c r="A153" s="5">
        <v>134</v>
      </c>
      <c r="B153" s="7">
        <v>0.44290000000000002</v>
      </c>
      <c r="C153" s="7">
        <v>0.43380000000000002</v>
      </c>
      <c r="D153" s="7">
        <v>0.42480000000000001</v>
      </c>
      <c r="E153" s="1" t="s">
        <v>233</v>
      </c>
      <c r="F153" s="1" t="s">
        <v>234</v>
      </c>
      <c r="N153" s="31"/>
      <c r="O153" s="28"/>
      <c r="P153" s="28"/>
      <c r="Q153" s="28"/>
      <c r="R153" s="28"/>
      <c r="S153" s="28"/>
      <c r="T153" s="28"/>
      <c r="U153" s="28"/>
      <c r="V153" s="28"/>
      <c r="W153" s="32"/>
      <c r="X153" s="32"/>
      <c r="Y153" s="32"/>
    </row>
    <row r="154" spans="1:25" ht="16.5" customHeight="1" x14ac:dyDescent="0.2">
      <c r="A154" s="5">
        <v>135</v>
      </c>
      <c r="B154" s="7">
        <v>0.43330000000000002</v>
      </c>
      <c r="C154" s="7">
        <v>0.42430000000000001</v>
      </c>
      <c r="D154" s="7">
        <v>0.41549999999999998</v>
      </c>
      <c r="E154" s="1" t="s">
        <v>235</v>
      </c>
      <c r="F154" s="1" t="s">
        <v>236</v>
      </c>
      <c r="N154" s="31"/>
      <c r="O154" s="28"/>
      <c r="P154" s="28"/>
      <c r="Q154" s="28"/>
      <c r="R154" s="28"/>
      <c r="S154" s="28"/>
      <c r="T154" s="28"/>
      <c r="U154" s="28"/>
      <c r="V154" s="28"/>
      <c r="W154" s="32"/>
      <c r="X154" s="32"/>
      <c r="Y154" s="32"/>
    </row>
    <row r="155" spans="1:25" ht="16.5" customHeight="1" x14ac:dyDescent="0.2">
      <c r="A155" s="5">
        <v>136</v>
      </c>
      <c r="B155" s="7">
        <v>0.42399999999999999</v>
      </c>
      <c r="C155" s="7">
        <v>0.41520000000000001</v>
      </c>
      <c r="D155" s="7">
        <v>0.40649999999999997</v>
      </c>
      <c r="E155" s="1" t="s">
        <v>237</v>
      </c>
      <c r="F155" s="1" t="s">
        <v>238</v>
      </c>
      <c r="N155" s="31"/>
      <c r="O155" s="28"/>
      <c r="P155" s="28"/>
      <c r="Q155" s="28"/>
      <c r="R155" s="28"/>
      <c r="S155" s="28"/>
      <c r="T155" s="28"/>
      <c r="U155" s="28"/>
      <c r="V155" s="28"/>
      <c r="W155" s="32"/>
      <c r="X155" s="32"/>
      <c r="Y155" s="32"/>
    </row>
    <row r="156" spans="1:25" ht="16.5" customHeight="1" x14ac:dyDescent="0.2">
      <c r="A156" s="5">
        <v>137</v>
      </c>
      <c r="B156" s="7">
        <v>0.41489999999999999</v>
      </c>
      <c r="C156" s="7">
        <v>0.40620000000000001</v>
      </c>
      <c r="D156" s="7">
        <v>0.3977</v>
      </c>
      <c r="E156" s="1" t="s">
        <v>239</v>
      </c>
      <c r="F156" s="1" t="s">
        <v>240</v>
      </c>
      <c r="N156" s="31"/>
      <c r="O156" s="28"/>
      <c r="P156" s="28"/>
      <c r="Q156" s="28"/>
      <c r="R156" s="28"/>
      <c r="S156" s="28"/>
      <c r="T156" s="28"/>
      <c r="U156" s="28"/>
      <c r="V156" s="28"/>
      <c r="W156" s="32"/>
      <c r="X156" s="32"/>
      <c r="Y156" s="32"/>
    </row>
    <row r="157" spans="1:25" ht="16.5" customHeight="1" x14ac:dyDescent="0.2">
      <c r="A157" s="5">
        <v>138</v>
      </c>
      <c r="B157" s="7">
        <v>0.40600000000000003</v>
      </c>
      <c r="C157" s="7">
        <v>0.39750000000000002</v>
      </c>
      <c r="D157" s="7">
        <v>0.3891</v>
      </c>
      <c r="E157" s="1" t="s">
        <v>241</v>
      </c>
      <c r="F157" s="1" t="s">
        <v>242</v>
      </c>
      <c r="N157" s="31"/>
      <c r="O157" s="28"/>
      <c r="P157" s="28"/>
      <c r="Q157" s="28"/>
      <c r="R157" s="28"/>
      <c r="S157" s="28"/>
      <c r="T157" s="28"/>
      <c r="U157" s="28"/>
      <c r="V157" s="28"/>
      <c r="W157" s="32"/>
      <c r="X157" s="32"/>
      <c r="Y157" s="32"/>
    </row>
    <row r="158" spans="1:25" ht="16.5" customHeight="1" x14ac:dyDescent="0.2">
      <c r="A158" s="5">
        <v>139</v>
      </c>
      <c r="B158" s="7">
        <v>0.39739999999999998</v>
      </c>
      <c r="C158" s="7">
        <v>0.38900000000000001</v>
      </c>
      <c r="D158" s="7">
        <v>0.38080000000000003</v>
      </c>
      <c r="E158" s="1" t="s">
        <v>243</v>
      </c>
      <c r="F158" s="1" t="s">
        <v>244</v>
      </c>
      <c r="N158" s="31"/>
      <c r="O158" s="28"/>
      <c r="P158" s="28"/>
      <c r="Q158" s="28"/>
      <c r="R158" s="28"/>
      <c r="S158" s="28"/>
      <c r="T158" s="28"/>
      <c r="U158" s="28"/>
      <c r="V158" s="28"/>
      <c r="W158" s="32"/>
      <c r="X158" s="32"/>
      <c r="Y158" s="32"/>
    </row>
    <row r="159" spans="1:25" ht="16.5" customHeight="1" x14ac:dyDescent="0.2">
      <c r="A159" s="5">
        <v>140</v>
      </c>
      <c r="B159" s="7">
        <v>0.38900000000000001</v>
      </c>
      <c r="C159" s="7">
        <v>0.38080000000000003</v>
      </c>
      <c r="D159" s="7">
        <v>0.37269999999999998</v>
      </c>
      <c r="E159" s="1" t="s">
        <v>245</v>
      </c>
      <c r="F159" s="1" t="s">
        <v>244</v>
      </c>
      <c r="N159" s="31"/>
      <c r="O159" s="28"/>
      <c r="P159" s="28"/>
      <c r="Q159" s="28"/>
      <c r="R159" s="28"/>
      <c r="S159" s="28"/>
      <c r="T159" s="28"/>
      <c r="U159" s="28"/>
      <c r="V159" s="28"/>
      <c r="W159" s="32"/>
      <c r="X159" s="32"/>
      <c r="Y159" s="32"/>
    </row>
    <row r="160" spans="1:25" ht="16.5" customHeight="1" x14ac:dyDescent="0.2">
      <c r="A160" s="5">
        <v>141</v>
      </c>
      <c r="B160" s="7">
        <v>0.38080000000000003</v>
      </c>
      <c r="C160" s="7">
        <v>0.37269999999999998</v>
      </c>
      <c r="D160" s="7">
        <v>0.36470000000000002</v>
      </c>
      <c r="E160" s="1" t="s">
        <v>245</v>
      </c>
      <c r="F160" s="1" t="s">
        <v>246</v>
      </c>
      <c r="N160" s="31"/>
      <c r="O160" s="28"/>
      <c r="P160" s="28"/>
      <c r="Q160" s="28"/>
      <c r="R160" s="28"/>
      <c r="S160" s="28"/>
      <c r="T160" s="28"/>
      <c r="U160" s="28"/>
      <c r="V160" s="28"/>
      <c r="W160" s="32"/>
      <c r="X160" s="32"/>
      <c r="Y160" s="32"/>
    </row>
    <row r="161" spans="1:6" ht="16.5" customHeight="1" x14ac:dyDescent="0.2">
      <c r="A161" s="5">
        <v>142</v>
      </c>
      <c r="B161" s="7">
        <v>0.37280000000000002</v>
      </c>
      <c r="C161" s="7">
        <v>0.36480000000000001</v>
      </c>
      <c r="D161" s="7">
        <v>0.35699999999999998</v>
      </c>
      <c r="E161" s="1" t="s">
        <v>247</v>
      </c>
      <c r="F161" s="1" t="s">
        <v>248</v>
      </c>
    </row>
    <row r="162" spans="1:6" ht="16.5" customHeight="1" x14ac:dyDescent="0.2">
      <c r="A162" s="5">
        <v>143</v>
      </c>
      <c r="B162" s="7">
        <v>0.36499999999999999</v>
      </c>
      <c r="C162" s="7">
        <v>0.35720000000000002</v>
      </c>
      <c r="D162" s="7">
        <v>0.34949999999999998</v>
      </c>
      <c r="E162" s="1" t="s">
        <v>249</v>
      </c>
      <c r="F162" s="1" t="s">
        <v>250</v>
      </c>
    </row>
    <row r="163" spans="1:6" ht="16.5" customHeight="1" x14ac:dyDescent="0.2">
      <c r="A163" s="5">
        <v>144</v>
      </c>
      <c r="B163" s="7">
        <v>0.3574</v>
      </c>
      <c r="C163" s="7">
        <v>0.34970000000000001</v>
      </c>
      <c r="D163" s="7">
        <v>0.34210000000000002</v>
      </c>
      <c r="E163" s="1" t="s">
        <v>251</v>
      </c>
      <c r="F163" s="1" t="s">
        <v>252</v>
      </c>
    </row>
    <row r="164" spans="1:6" ht="16.5" customHeight="1" x14ac:dyDescent="0.2">
      <c r="A164" s="5">
        <v>145</v>
      </c>
      <c r="B164" s="7">
        <v>0.35</v>
      </c>
      <c r="C164" s="7">
        <v>0.34239999999999998</v>
      </c>
      <c r="D164" s="7">
        <v>0.33500000000000002</v>
      </c>
      <c r="E164" s="1" t="s">
        <v>253</v>
      </c>
      <c r="F164" s="1" t="s">
        <v>254</v>
      </c>
    </row>
    <row r="165" spans="1:6" ht="16.5" customHeight="1" x14ac:dyDescent="0.2">
      <c r="A165" s="5">
        <v>146</v>
      </c>
      <c r="B165" s="7">
        <v>0.34279999999999999</v>
      </c>
      <c r="C165" s="7">
        <v>0.33529999999999999</v>
      </c>
      <c r="D165" s="7">
        <v>0.32800000000000001</v>
      </c>
      <c r="E165" s="1" t="s">
        <v>255</v>
      </c>
      <c r="F165" s="1" t="s">
        <v>256</v>
      </c>
    </row>
    <row r="166" spans="1:6" ht="16.5" customHeight="1" x14ac:dyDescent="0.2">
      <c r="A166" s="5">
        <v>147</v>
      </c>
      <c r="B166" s="7">
        <v>0.33579999999999999</v>
      </c>
      <c r="C166" s="7">
        <v>0.32840000000000003</v>
      </c>
      <c r="D166" s="7">
        <v>0.32119999999999999</v>
      </c>
      <c r="E166" s="1" t="s">
        <v>257</v>
      </c>
      <c r="F166" s="1" t="s">
        <v>258</v>
      </c>
    </row>
    <row r="167" spans="1:6" ht="16.5" customHeight="1" x14ac:dyDescent="0.2">
      <c r="A167" s="5">
        <v>148</v>
      </c>
      <c r="B167" s="7">
        <v>0.32890000000000003</v>
      </c>
      <c r="C167" s="7">
        <v>0.32169999999999999</v>
      </c>
      <c r="D167" s="7">
        <v>0.31459999999999999</v>
      </c>
      <c r="E167" s="1" t="s">
        <v>259</v>
      </c>
      <c r="F167" s="1" t="s">
        <v>260</v>
      </c>
    </row>
    <row r="168" spans="1:6" ht="16.5" customHeight="1" x14ac:dyDescent="0.2">
      <c r="A168" s="5">
        <v>149</v>
      </c>
      <c r="B168" s="7">
        <v>0.32229999999999998</v>
      </c>
      <c r="C168" s="7">
        <v>0.31509999999999999</v>
      </c>
      <c r="D168" s="7">
        <v>0.30809999999999998</v>
      </c>
      <c r="E168" s="1" t="s">
        <v>261</v>
      </c>
      <c r="F168" s="1" t="s">
        <v>262</v>
      </c>
    </row>
    <row r="169" spans="1:6" ht="16.5" customHeight="1" x14ac:dyDescent="0.2">
      <c r="A169" s="5">
        <v>150</v>
      </c>
      <c r="B169" s="7">
        <v>0.31569999999999998</v>
      </c>
      <c r="C169" s="7">
        <v>0.30869999999999997</v>
      </c>
      <c r="D169" s="7">
        <v>0.30180000000000001</v>
      </c>
      <c r="E169" s="1" t="s">
        <v>263</v>
      </c>
      <c r="F169" s="1" t="s">
        <v>264</v>
      </c>
    </row>
  </sheetData>
  <mergeCells count="6">
    <mergeCell ref="I3:L4"/>
    <mergeCell ref="U1:Z1"/>
    <mergeCell ref="R106:R108"/>
    <mergeCell ref="S110:S111"/>
    <mergeCell ref="S113:S114"/>
    <mergeCell ref="W105:X107"/>
  </mergeCells>
  <phoneticPr fontId="1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RS PRO NTC Characteristics.xlsx</dc:title>
  <dc:creator>E0652222</dc:creator>
  <cp:lastModifiedBy>Alex Gabilondo</cp:lastModifiedBy>
  <dcterms:created xsi:type="dcterms:W3CDTF">2025-02-08T10:01:59Z</dcterms:created>
  <dcterms:modified xsi:type="dcterms:W3CDTF">2026-03-06T18:36:36Z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2023-09-14T00:00:00Z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2025-02-08T00:00:00Z</vt:filetime>
  </property>
  <property fmtid="{D5CDD505-2E9C-101B-9397-08002B2CF9AE}" pid="5" name="Producer">
    <vt:lpwstr>Acrobat Distiller 17.0 (Windows)</vt:lpwstr>
  </property>
</Properties>
</file>